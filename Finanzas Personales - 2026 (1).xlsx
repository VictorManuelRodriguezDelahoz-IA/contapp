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acere\Downloads\"/>
    </mc:Choice>
  </mc:AlternateContent>
  <xr:revisionPtr revIDLastSave="0" documentId="13_ncr:1_{ABA9276E-1619-4CA5-B41C-04E41B8DED56}" xr6:coauthVersionLast="47" xr6:coauthVersionMax="47" xr10:uidLastSave="{00000000-0000-0000-0000-000000000000}"/>
  <bookViews>
    <workbookView xWindow="28680" yWindow="-120" windowWidth="21840" windowHeight="13020" xr2:uid="{0E674B78-D645-4F51-ADE6-3F38A59928AC}"/>
  </bookViews>
  <sheets>
    <sheet name="ENERO" sheetId="1" r:id="rId1"/>
    <sheet name="FEBRERO" sheetId="14" r:id="rId2"/>
    <sheet name="MARZO" sheetId="15" r:id="rId3"/>
    <sheet name="ABRIL" sheetId="16" r:id="rId4"/>
    <sheet name="MAYO" sheetId="17" r:id="rId5"/>
    <sheet name="JUNIO" sheetId="18" r:id="rId6"/>
    <sheet name="JULIO" sheetId="19" r:id="rId7"/>
    <sheet name="AGOSTO" sheetId="20" r:id="rId8"/>
    <sheet name="SEPTIEMBRE" sheetId="21" r:id="rId9"/>
    <sheet name="OCTUBRE" sheetId="22" r:id="rId10"/>
    <sheet name="NOVIEMBRE" sheetId="23" r:id="rId11"/>
    <sheet name="DICIEMBRE" sheetId="24" r:id="rId12"/>
    <sheet name="RESUMEN ANUAL" sheetId="25" r:id="rId13"/>
    <sheet name="Listas" sheetId="2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24" l="1"/>
  <c r="I27" i="24"/>
  <c r="I26" i="24"/>
  <c r="I25" i="24"/>
  <c r="I24" i="24"/>
  <c r="I23" i="24"/>
  <c r="I28" i="23"/>
  <c r="I27" i="23"/>
  <c r="I26" i="23"/>
  <c r="I25" i="23"/>
  <c r="I24" i="23"/>
  <c r="I23" i="23"/>
  <c r="I28" i="22"/>
  <c r="I27" i="22"/>
  <c r="I26" i="22"/>
  <c r="I25" i="22"/>
  <c r="I24" i="22"/>
  <c r="I23" i="22"/>
  <c r="I28" i="21"/>
  <c r="I27" i="21"/>
  <c r="I26" i="21"/>
  <c r="I25" i="21"/>
  <c r="I24" i="21"/>
  <c r="I23" i="21"/>
  <c r="J42" i="20"/>
  <c r="J41" i="20"/>
  <c r="J40" i="20"/>
  <c r="J39" i="20"/>
  <c r="J38" i="20"/>
  <c r="J37" i="20"/>
  <c r="J36" i="20"/>
  <c r="J35" i="20"/>
  <c r="I42" i="20"/>
  <c r="I41" i="20"/>
  <c r="I40" i="20"/>
  <c r="I39" i="20"/>
  <c r="I39" i="21" s="1"/>
  <c r="I39" i="22" s="1"/>
  <c r="I39" i="23" s="1"/>
  <c r="I39" i="24" s="1"/>
  <c r="I38" i="20"/>
  <c r="I38" i="21" s="1"/>
  <c r="I38" i="22" s="1"/>
  <c r="I38" i="23" s="1"/>
  <c r="I38" i="24" s="1"/>
  <c r="I37" i="20"/>
  <c r="I36" i="20"/>
  <c r="I36" i="21" s="1"/>
  <c r="I36" i="22" s="1"/>
  <c r="I36" i="23" s="1"/>
  <c r="I36" i="24" s="1"/>
  <c r="I35" i="20"/>
  <c r="I28" i="20"/>
  <c r="I27" i="20"/>
  <c r="I26" i="20"/>
  <c r="I25" i="20"/>
  <c r="I24" i="20"/>
  <c r="I23" i="20"/>
  <c r="I28" i="19"/>
  <c r="I27" i="19"/>
  <c r="I26" i="19"/>
  <c r="I25" i="19"/>
  <c r="I24" i="19"/>
  <c r="I23" i="19"/>
  <c r="J42" i="19"/>
  <c r="J41" i="19"/>
  <c r="J40" i="19"/>
  <c r="J39" i="19"/>
  <c r="J38" i="19"/>
  <c r="J37" i="19"/>
  <c r="J36" i="19"/>
  <c r="J35" i="19"/>
  <c r="I42" i="19"/>
  <c r="I41" i="19"/>
  <c r="I40" i="19"/>
  <c r="I40" i="21" s="1"/>
  <c r="I40" i="22" s="1"/>
  <c r="I40" i="23" s="1"/>
  <c r="I40" i="24" s="1"/>
  <c r="I39" i="19"/>
  <c r="I38" i="19"/>
  <c r="I37" i="19"/>
  <c r="I36" i="19"/>
  <c r="I35" i="19"/>
  <c r="I42" i="18"/>
  <c r="I41" i="18"/>
  <c r="I40" i="18"/>
  <c r="I39" i="18"/>
  <c r="I38" i="18"/>
  <c r="I37" i="18"/>
  <c r="I36" i="18"/>
  <c r="I35" i="18"/>
  <c r="I28" i="18"/>
  <c r="I27" i="18"/>
  <c r="I26" i="18"/>
  <c r="I25" i="18"/>
  <c r="I24" i="18"/>
  <c r="I23" i="18"/>
  <c r="J42" i="17"/>
  <c r="J41" i="17"/>
  <c r="J40" i="17"/>
  <c r="J39" i="17"/>
  <c r="J38" i="17"/>
  <c r="J37" i="17"/>
  <c r="J36" i="17"/>
  <c r="I42" i="17"/>
  <c r="I41" i="17"/>
  <c r="I40" i="17"/>
  <c r="I39" i="17"/>
  <c r="I38" i="17"/>
  <c r="I37" i="17"/>
  <c r="I36" i="17"/>
  <c r="I35" i="17"/>
  <c r="I28" i="17"/>
  <c r="I27" i="17"/>
  <c r="I26" i="17"/>
  <c r="I25" i="17"/>
  <c r="I24" i="17"/>
  <c r="I23" i="17"/>
  <c r="I35" i="16" a="1"/>
  <c r="I35" i="16" s="1"/>
  <c r="I28" i="16"/>
  <c r="I27" i="16"/>
  <c r="I26" i="16"/>
  <c r="I25" i="16"/>
  <c r="I24" i="16"/>
  <c r="I23" i="16"/>
  <c r="J42" i="15"/>
  <c r="J41" i="15"/>
  <c r="J40" i="15"/>
  <c r="J39" i="15"/>
  <c r="J38" i="15"/>
  <c r="J37" i="15"/>
  <c r="J36" i="15"/>
  <c r="I42" i="15"/>
  <c r="I41" i="15"/>
  <c r="I40" i="15"/>
  <c r="I39" i="15"/>
  <c r="I38" i="15"/>
  <c r="I37" i="15"/>
  <c r="I36" i="15"/>
  <c r="I35" i="15"/>
  <c r="I28" i="15"/>
  <c r="I27" i="15"/>
  <c r="I26" i="15"/>
  <c r="I25" i="15"/>
  <c r="I24" i="15"/>
  <c r="I23" i="15"/>
  <c r="I42" i="14"/>
  <c r="I41" i="14"/>
  <c r="I40" i="14"/>
  <c r="I39" i="14"/>
  <c r="I38" i="14"/>
  <c r="I37" i="14"/>
  <c r="I36" i="14"/>
  <c r="I35" i="14"/>
  <c r="I28" i="14"/>
  <c r="I27" i="14"/>
  <c r="I26" i="14"/>
  <c r="I25" i="14"/>
  <c r="I24" i="14"/>
  <c r="I23" i="14"/>
  <c r="C10" i="1"/>
  <c r="B10" i="25" s="1"/>
  <c r="J16" i="1"/>
  <c r="C10" i="14"/>
  <c r="J16" i="14"/>
  <c r="C10" i="15"/>
  <c r="D10" i="25" s="1"/>
  <c r="J16" i="15"/>
  <c r="C10" i="16"/>
  <c r="J16" i="16"/>
  <c r="C10" i="17"/>
  <c r="J16" i="17"/>
  <c r="J16" i="18"/>
  <c r="C10" i="18" s="1"/>
  <c r="G10" i="25" s="1"/>
  <c r="C10" i="22"/>
  <c r="C4" i="22" s="1"/>
  <c r="I42" i="21"/>
  <c r="I42" i="22" s="1"/>
  <c r="I42" i="23" s="1"/>
  <c r="I42" i="24" s="1"/>
  <c r="I41" i="21"/>
  <c r="I41" i="22" s="1"/>
  <c r="I41" i="23" s="1"/>
  <c r="I41" i="24" s="1"/>
  <c r="J16" i="24"/>
  <c r="C10" i="24" s="1"/>
  <c r="J16" i="23"/>
  <c r="C10" i="23" s="1"/>
  <c r="J16" i="22"/>
  <c r="J16" i="21"/>
  <c r="C10" i="21" s="1"/>
  <c r="J10" i="25" s="1"/>
  <c r="J16" i="20"/>
  <c r="C10" i="20" s="1"/>
  <c r="I37" i="21"/>
  <c r="I37" i="22" s="1"/>
  <c r="I37" i="23" s="1"/>
  <c r="I37" i="24" s="1"/>
  <c r="J16" i="19"/>
  <c r="C10" i="19" s="1"/>
  <c r="C12" i="1"/>
  <c r="L39" i="17"/>
  <c r="L38" i="15"/>
  <c r="J38" i="16" s="1"/>
  <c r="L38" i="16" s="1"/>
  <c r="L43" i="1"/>
  <c r="J42" i="14" s="1"/>
  <c r="L42" i="1"/>
  <c r="J41" i="14" s="1"/>
  <c r="L41" i="1"/>
  <c r="J40" i="14" s="1"/>
  <c r="L40" i="14" s="1"/>
  <c r="L40" i="1"/>
  <c r="J39" i="14" s="1"/>
  <c r="L39" i="14" s="1"/>
  <c r="L39" i="1"/>
  <c r="J38" i="14" s="1"/>
  <c r="L38" i="14" s="1"/>
  <c r="L38" i="1"/>
  <c r="L37" i="1"/>
  <c r="J36" i="14" s="1"/>
  <c r="L36" i="14" s="1"/>
  <c r="L36" i="1"/>
  <c r="J37" i="14"/>
  <c r="L37" i="14" s="1"/>
  <c r="E21" i="25"/>
  <c r="K43" i="24"/>
  <c r="M21" i="25" s="1"/>
  <c r="K43" i="23"/>
  <c r="L21" i="25" s="1"/>
  <c r="K43" i="22"/>
  <c r="K21" i="25" s="1"/>
  <c r="K43" i="21"/>
  <c r="J21" i="25" s="1"/>
  <c r="K43" i="20"/>
  <c r="I21" i="25" s="1"/>
  <c r="K43" i="19"/>
  <c r="H21" i="25" s="1"/>
  <c r="K43" i="18"/>
  <c r="G21" i="25" s="1"/>
  <c r="K43" i="17"/>
  <c r="F21" i="25" s="1"/>
  <c r="K43" i="16"/>
  <c r="K43" i="15"/>
  <c r="D21" i="25" s="1"/>
  <c r="K43" i="14"/>
  <c r="C21" i="25" s="1"/>
  <c r="K44" i="1"/>
  <c r="B21" i="25" s="1"/>
  <c r="J44" i="1"/>
  <c r="B20" i="25" s="1"/>
  <c r="J35" i="14"/>
  <c r="E16" i="25"/>
  <c r="J29" i="24"/>
  <c r="M16" i="25" s="1"/>
  <c r="J29" i="23"/>
  <c r="L16" i="25" s="1"/>
  <c r="J29" i="22"/>
  <c r="K16" i="25" s="1"/>
  <c r="J29" i="21"/>
  <c r="J16" i="25" s="1"/>
  <c r="J29" i="20"/>
  <c r="I16" i="25" s="1"/>
  <c r="J29" i="19"/>
  <c r="H16" i="25" s="1"/>
  <c r="J29" i="18"/>
  <c r="G16" i="25" s="1"/>
  <c r="J29" i="17"/>
  <c r="F16" i="25" s="1"/>
  <c r="J29" i="16"/>
  <c r="J29" i="15"/>
  <c r="D16" i="25" s="1"/>
  <c r="J29" i="14"/>
  <c r="C16" i="25" s="1"/>
  <c r="J29" i="1"/>
  <c r="B16" i="25" s="1"/>
  <c r="F10" i="25"/>
  <c r="E10" i="25"/>
  <c r="C10" i="25"/>
  <c r="G48" i="24"/>
  <c r="C15" i="24"/>
  <c r="C14" i="24"/>
  <c r="C13" i="24"/>
  <c r="C12" i="24"/>
  <c r="C11" i="24"/>
  <c r="G48" i="23"/>
  <c r="C15" i="23"/>
  <c r="C14" i="23"/>
  <c r="C13" i="23"/>
  <c r="C12" i="23"/>
  <c r="C11" i="23"/>
  <c r="L11" i="25" s="1"/>
  <c r="G48" i="22"/>
  <c r="C15" i="22"/>
  <c r="C14" i="22"/>
  <c r="C13" i="22"/>
  <c r="C12" i="22"/>
  <c r="C11" i="22"/>
  <c r="G48" i="21"/>
  <c r="C15" i="21"/>
  <c r="C14" i="21"/>
  <c r="C13" i="21"/>
  <c r="C12" i="21"/>
  <c r="C11" i="21"/>
  <c r="G48" i="20"/>
  <c r="C15" i="20"/>
  <c r="C14" i="20"/>
  <c r="C13" i="20"/>
  <c r="C12" i="20"/>
  <c r="C11" i="20"/>
  <c r="G48" i="19"/>
  <c r="C15" i="19"/>
  <c r="C14" i="19"/>
  <c r="C13" i="19"/>
  <c r="C12" i="19"/>
  <c r="C11" i="19"/>
  <c r="G48" i="18"/>
  <c r="C15" i="18"/>
  <c r="C14" i="18"/>
  <c r="C13" i="18"/>
  <c r="C12" i="18"/>
  <c r="C11" i="18"/>
  <c r="G48" i="17"/>
  <c r="C15" i="17"/>
  <c r="C14" i="17"/>
  <c r="C7" i="17" s="1"/>
  <c r="C13" i="17"/>
  <c r="C6" i="17" s="1"/>
  <c r="C12" i="17"/>
  <c r="C4" i="17" s="1"/>
  <c r="C11" i="17"/>
  <c r="C3" i="17" s="1"/>
  <c r="C5" i="17"/>
  <c r="G48" i="16"/>
  <c r="C15" i="16"/>
  <c r="C5" i="16" s="1"/>
  <c r="C14" i="16"/>
  <c r="C7" i="16" s="1"/>
  <c r="C13" i="16"/>
  <c r="C12" i="16"/>
  <c r="C4" i="16" s="1"/>
  <c r="C11" i="16"/>
  <c r="C3" i="16" s="1"/>
  <c r="G48" i="15"/>
  <c r="C15" i="15"/>
  <c r="C14" i="15"/>
  <c r="C13" i="15"/>
  <c r="C12" i="15"/>
  <c r="C11" i="15"/>
  <c r="G48" i="14"/>
  <c r="C15" i="14"/>
  <c r="C5" i="14" s="1"/>
  <c r="C14" i="14"/>
  <c r="C7" i="14" s="1"/>
  <c r="C13" i="14"/>
  <c r="C6" i="14" s="1"/>
  <c r="C12" i="14"/>
  <c r="C4" i="14" s="1"/>
  <c r="C11" i="14"/>
  <c r="C15" i="1"/>
  <c r="C14" i="1"/>
  <c r="G48" i="1"/>
  <c r="C13" i="1"/>
  <c r="C11" i="1"/>
  <c r="M10" i="25" l="1"/>
  <c r="L10" i="25"/>
  <c r="L12" i="25" s="1"/>
  <c r="C4" i="23"/>
  <c r="C6" i="23"/>
  <c r="C7" i="23"/>
  <c r="C5" i="23"/>
  <c r="C6" i="22"/>
  <c r="C7" i="22"/>
  <c r="C5" i="22"/>
  <c r="C3" i="22"/>
  <c r="K10" i="25"/>
  <c r="C4" i="21"/>
  <c r="C6" i="21"/>
  <c r="C7" i="21"/>
  <c r="C5" i="21"/>
  <c r="I35" i="21"/>
  <c r="I35" i="22" s="1"/>
  <c r="I35" i="23" s="1"/>
  <c r="I35" i="24" s="1"/>
  <c r="I10" i="25"/>
  <c r="C3" i="20"/>
  <c r="C4" i="20"/>
  <c r="C6" i="20"/>
  <c r="C7" i="20"/>
  <c r="C5" i="20"/>
  <c r="C4" i="15"/>
  <c r="C7" i="15"/>
  <c r="C6" i="15"/>
  <c r="C3" i="15"/>
  <c r="C1" i="15" s="1"/>
  <c r="C2" i="15" s="1"/>
  <c r="C5" i="15"/>
  <c r="C6" i="18"/>
  <c r="C7" i="18"/>
  <c r="C3" i="18"/>
  <c r="C4" i="18"/>
  <c r="C5" i="18"/>
  <c r="C4" i="24"/>
  <c r="C6" i="24"/>
  <c r="C7" i="24"/>
  <c r="C5" i="24"/>
  <c r="M11" i="25"/>
  <c r="M12" i="25" s="1"/>
  <c r="B17" i="21"/>
  <c r="J45" i="21" s="1"/>
  <c r="B22" i="25"/>
  <c r="B23" i="25" s="1"/>
  <c r="C4" i="1"/>
  <c r="C6" i="1"/>
  <c r="C7" i="1"/>
  <c r="C3" i="1"/>
  <c r="C4" i="19"/>
  <c r="H11" i="25"/>
  <c r="C6" i="19"/>
  <c r="C7" i="19"/>
  <c r="H10" i="25"/>
  <c r="C5" i="19"/>
  <c r="L41" i="14"/>
  <c r="L42" i="14"/>
  <c r="L37" i="15"/>
  <c r="J37" i="16" s="1"/>
  <c r="L37" i="16" s="1"/>
  <c r="L35" i="14"/>
  <c r="J35" i="15" s="1"/>
  <c r="L35" i="15" s="1"/>
  <c r="B15" i="25"/>
  <c r="B17" i="25" s="1"/>
  <c r="C15" i="25" s="1"/>
  <c r="B17" i="24"/>
  <c r="J45" i="24" s="1"/>
  <c r="C3" i="24"/>
  <c r="B17" i="23"/>
  <c r="J45" i="23" s="1"/>
  <c r="C3" i="23"/>
  <c r="K11" i="25"/>
  <c r="K12" i="25" s="1"/>
  <c r="C3" i="21"/>
  <c r="I11" i="25"/>
  <c r="D11" i="25"/>
  <c r="D12" i="25" s="1"/>
  <c r="J43" i="14"/>
  <c r="C20" i="25" s="1"/>
  <c r="C22" i="25" s="1"/>
  <c r="L38" i="17"/>
  <c r="L44" i="1"/>
  <c r="E11" i="25"/>
  <c r="E12" i="25" s="1"/>
  <c r="B11" i="25"/>
  <c r="B12" i="25" s="1"/>
  <c r="C5" i="1"/>
  <c r="B17" i="1"/>
  <c r="B17" i="22"/>
  <c r="J45" i="22" s="1"/>
  <c r="J11" i="25"/>
  <c r="J12" i="25" s="1"/>
  <c r="B17" i="20"/>
  <c r="J45" i="20" s="1"/>
  <c r="B17" i="19"/>
  <c r="J45" i="19" s="1"/>
  <c r="C3" i="19"/>
  <c r="B17" i="18"/>
  <c r="C1" i="17"/>
  <c r="C2" i="17" s="1"/>
  <c r="B17" i="15"/>
  <c r="B17" i="14"/>
  <c r="G11" i="25"/>
  <c r="G12" i="25" s="1"/>
  <c r="C6" i="16"/>
  <c r="C1" i="16" s="1"/>
  <c r="C2" i="16" s="1"/>
  <c r="B17" i="16"/>
  <c r="F11" i="25"/>
  <c r="F12" i="25" s="1"/>
  <c r="B17" i="17"/>
  <c r="C11" i="25"/>
  <c r="C3" i="14"/>
  <c r="C1" i="14" s="1"/>
  <c r="C2" i="14" s="1"/>
  <c r="C1" i="23" l="1"/>
  <c r="C2" i="23" s="1"/>
  <c r="C1" i="22"/>
  <c r="C2" i="22" s="1"/>
  <c r="C1" i="21"/>
  <c r="C2" i="21" s="1"/>
  <c r="C1" i="20"/>
  <c r="C2" i="20" s="1"/>
  <c r="I12" i="25"/>
  <c r="C1" i="18"/>
  <c r="C2" i="18" s="1"/>
  <c r="C1" i="24"/>
  <c r="C2" i="24" s="1"/>
  <c r="C1" i="1"/>
  <c r="C2" i="1" s="1"/>
  <c r="H12" i="25"/>
  <c r="C1" i="19"/>
  <c r="C2" i="19" s="1"/>
  <c r="J35" i="16"/>
  <c r="L35" i="16" s="1"/>
  <c r="L42" i="15"/>
  <c r="J42" i="16" s="1"/>
  <c r="L42" i="16" s="1"/>
  <c r="L42" i="17" s="1"/>
  <c r="J42" i="18" s="1"/>
  <c r="L42" i="18" s="1"/>
  <c r="L41" i="15"/>
  <c r="J41" i="16" s="1"/>
  <c r="L41" i="16" s="1"/>
  <c r="L41" i="17" s="1"/>
  <c r="J41" i="18" s="1"/>
  <c r="L40" i="15"/>
  <c r="J40" i="16" s="1"/>
  <c r="L40" i="16" s="1"/>
  <c r="L40" i="17" s="1"/>
  <c r="J40" i="18" s="1"/>
  <c r="L43" i="14"/>
  <c r="L39" i="15"/>
  <c r="J39" i="16" s="1"/>
  <c r="L36" i="15"/>
  <c r="L43" i="15" s="1"/>
  <c r="C23" i="25"/>
  <c r="L37" i="17"/>
  <c r="J37" i="18" s="1"/>
  <c r="L39" i="19"/>
  <c r="J43" i="15"/>
  <c r="D20" i="25" s="1"/>
  <c r="C12" i="25"/>
  <c r="C17" i="25"/>
  <c r="D15" i="25" s="1"/>
  <c r="D17" i="25" s="1"/>
  <c r="E15" i="25" s="1"/>
  <c r="E17" i="25" s="1"/>
  <c r="F15" i="25" s="1"/>
  <c r="F17" i="25" s="1"/>
  <c r="G15" i="25" s="1"/>
  <c r="G17" i="25" s="1"/>
  <c r="H15" i="25" s="1"/>
  <c r="H17" i="25" s="1"/>
  <c r="I15" i="25" s="1"/>
  <c r="I17" i="25" s="1"/>
  <c r="J15" i="25" s="1"/>
  <c r="J17" i="25" s="1"/>
  <c r="K15" i="25" s="1"/>
  <c r="K17" i="25" s="1"/>
  <c r="L15" i="25" s="1"/>
  <c r="L17" i="25" s="1"/>
  <c r="M15" i="25" s="1"/>
  <c r="M17" i="25" s="1"/>
  <c r="J36" i="16" l="1"/>
  <c r="L36" i="16" s="1"/>
  <c r="L36" i="17" s="1"/>
  <c r="J36" i="18" s="1"/>
  <c r="J39" i="18"/>
  <c r="L39" i="18" s="1"/>
  <c r="L39" i="16"/>
  <c r="L40" i="18"/>
  <c r="L41" i="18"/>
  <c r="L42" i="19"/>
  <c r="L37" i="18"/>
  <c r="J35" i="17"/>
  <c r="D22" i="25"/>
  <c r="L39" i="20"/>
  <c r="J39" i="21" s="1"/>
  <c r="J38" i="18"/>
  <c r="L38" i="18" s="1"/>
  <c r="L43" i="16" l="1"/>
  <c r="J43" i="16"/>
  <c r="E20" i="25" s="1"/>
  <c r="E22" i="25" s="1"/>
  <c r="D23" i="25"/>
  <c r="L42" i="20"/>
  <c r="J42" i="21" s="1"/>
  <c r="L41" i="19"/>
  <c r="L37" i="19"/>
  <c r="L40" i="19"/>
  <c r="L35" i="17"/>
  <c r="L43" i="17" s="1"/>
  <c r="J43" i="17"/>
  <c r="F20" i="25" s="1"/>
  <c r="F22" i="25" s="1"/>
  <c r="L36" i="18"/>
  <c r="L39" i="21"/>
  <c r="J39" i="22" s="1"/>
  <c r="E23" i="25" l="1"/>
  <c r="J35" i="18"/>
  <c r="J43" i="18" s="1"/>
  <c r="G20" i="25" s="1"/>
  <c r="G22" i="25" s="1"/>
  <c r="L42" i="21"/>
  <c r="J42" i="22" s="1"/>
  <c r="L40" i="20"/>
  <c r="J40" i="21" s="1"/>
  <c r="L41" i="20"/>
  <c r="J41" i="21" s="1"/>
  <c r="L36" i="19"/>
  <c r="F23" i="25"/>
  <c r="L37" i="20"/>
  <c r="J37" i="21" s="1"/>
  <c r="L39" i="22"/>
  <c r="J39" i="23" s="1"/>
  <c r="L38" i="19"/>
  <c r="L35" i="18" l="1"/>
  <c r="L43" i="18" s="1"/>
  <c r="G23" i="25"/>
  <c r="L36" i="20"/>
  <c r="J36" i="21" s="1"/>
  <c r="L41" i="21"/>
  <c r="J41" i="22" s="1"/>
  <c r="L40" i="21"/>
  <c r="J40" i="22" s="1"/>
  <c r="L37" i="21"/>
  <c r="J37" i="22" s="1"/>
  <c r="L42" i="22"/>
  <c r="J42" i="23" s="1"/>
  <c r="L39" i="23"/>
  <c r="J39" i="24" s="1"/>
  <c r="L39" i="24" s="1"/>
  <c r="L40" i="22" l="1"/>
  <c r="J40" i="23" s="1"/>
  <c r="L42" i="23"/>
  <c r="J42" i="24" s="1"/>
  <c r="L42" i="24" s="1"/>
  <c r="L41" i="22"/>
  <c r="J41" i="23" s="1"/>
  <c r="L37" i="22"/>
  <c r="J37" i="23" s="1"/>
  <c r="L35" i="19"/>
  <c r="L43" i="19" s="1"/>
  <c r="J43" i="19"/>
  <c r="H20" i="25" s="1"/>
  <c r="H22" i="25" s="1"/>
  <c r="L36" i="21"/>
  <c r="J36" i="22" s="1"/>
  <c r="L38" i="20"/>
  <c r="L37" i="23" l="1"/>
  <c r="J37" i="24" s="1"/>
  <c r="L37" i="24" s="1"/>
  <c r="L41" i="23"/>
  <c r="J41" i="24" s="1"/>
  <c r="L41" i="24" s="1"/>
  <c r="L40" i="23"/>
  <c r="J40" i="24" s="1"/>
  <c r="L40" i="24" s="1"/>
  <c r="L36" i="22"/>
  <c r="J36" i="23" s="1"/>
  <c r="L35" i="20"/>
  <c r="J35" i="21" s="1"/>
  <c r="L35" i="21" s="1"/>
  <c r="J35" i="22" s="1"/>
  <c r="L35" i="22" s="1"/>
  <c r="J35" i="23" s="1"/>
  <c r="L35" i="23" s="1"/>
  <c r="J35" i="24" s="1"/>
  <c r="L35" i="24" s="1"/>
  <c r="H23" i="25"/>
  <c r="J43" i="20" l="1"/>
  <c r="I20" i="25" s="1"/>
  <c r="I22" i="25" s="1"/>
  <c r="L36" i="23"/>
  <c r="J36" i="24" s="1"/>
  <c r="L36" i="24" s="1"/>
  <c r="J38" i="21"/>
  <c r="L38" i="21" s="1"/>
  <c r="L43" i="20"/>
  <c r="I23" i="25" l="1"/>
  <c r="J43" i="21"/>
  <c r="J20" i="25" s="1"/>
  <c r="J22" i="25" l="1"/>
  <c r="J23" i="25" s="1"/>
  <c r="J38" i="22"/>
  <c r="L38" i="22" s="1"/>
  <c r="L43" i="21"/>
  <c r="J43" i="22" l="1"/>
  <c r="K20" i="25" s="1"/>
  <c r="K22" i="25" s="1"/>
  <c r="K23" i="25" l="1"/>
  <c r="J38" i="23"/>
  <c r="L38" i="23" s="1"/>
  <c r="L43" i="22"/>
  <c r="J43" i="23" l="1"/>
  <c r="L20" i="25" s="1"/>
  <c r="L22" i="25" l="1"/>
  <c r="L23" i="25" s="1"/>
  <c r="J38" i="24"/>
  <c r="L38" i="24" s="1"/>
  <c r="L43" i="23"/>
  <c r="L43" i="24" l="1"/>
  <c r="J43" i="24"/>
  <c r="M20" i="25" s="1"/>
  <c r="M22" i="25" s="1"/>
  <c r="M23" i="2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<sst xmlns="http://schemas.openxmlformats.org/spreadsheetml/2006/main" count="802" uniqueCount="79">
  <si>
    <t>Ingresos</t>
  </si>
  <si>
    <t>Ocio</t>
  </si>
  <si>
    <t>Ahorro</t>
  </si>
  <si>
    <t>Total Gastado</t>
  </si>
  <si>
    <t>Medio de pago</t>
  </si>
  <si>
    <t>Descripción</t>
  </si>
  <si>
    <t>Categoría</t>
  </si>
  <si>
    <t>Presupuestado</t>
  </si>
  <si>
    <t>Gastado</t>
  </si>
  <si>
    <t>Medio de Pago</t>
  </si>
  <si>
    <t>Gastos</t>
  </si>
  <si>
    <t>Fijos</t>
  </si>
  <si>
    <t>Variables</t>
  </si>
  <si>
    <t>Inversion</t>
  </si>
  <si>
    <t>Fecha</t>
  </si>
  <si>
    <t>CONTROL DE ENERO</t>
  </si>
  <si>
    <t>RESULTADO DEL MES</t>
  </si>
  <si>
    <t>Nequi</t>
  </si>
  <si>
    <t>Daviplata</t>
  </si>
  <si>
    <t>Nubank</t>
  </si>
  <si>
    <t>Uala</t>
  </si>
  <si>
    <t>CONTROL DE FEBRERO</t>
  </si>
  <si>
    <t>CONTROL DE MARZO</t>
  </si>
  <si>
    <t>CONTROL DE ABRIL</t>
  </si>
  <si>
    <t>CONTROL DE MAYO</t>
  </si>
  <si>
    <t>CONTROL DE JUNIO</t>
  </si>
  <si>
    <t>CONTROL DE JULIO</t>
  </si>
  <si>
    <t>CONTROL DE AGOSTO</t>
  </si>
  <si>
    <t>CONTROL DE SEPTIEMBRE</t>
  </si>
  <si>
    <t>CONTROL DE OCTUBRE</t>
  </si>
  <si>
    <t>CONTROL DE NOVIEMBRE</t>
  </si>
  <si>
    <t>CONTROL DE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</si>
  <si>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</si>
  <si>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</si>
  <si>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</si>
  <si>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</si>
  <si>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</si>
  <si>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</si>
  <si>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</si>
  <si>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</si>
  <si>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</si>
  <si>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</si>
  <si>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</si>
  <si>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</si>
  <si>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Egresos</t>
  </si>
  <si>
    <t>Resultado por mes</t>
  </si>
  <si>
    <t>Ahorro/Inversion</t>
  </si>
  <si>
    <t>Resultado de la inversion</t>
  </si>
  <si>
    <t>Intereses recibidos</t>
  </si>
  <si>
    <t>Ahorro / Inversion</t>
  </si>
  <si>
    <t>Intereses Recibidos</t>
  </si>
  <si>
    <t>TOTAL</t>
  </si>
  <si>
    <t>Trii</t>
  </si>
  <si>
    <t>DEUDA</t>
  </si>
  <si>
    <t>VALOR</t>
  </si>
  <si>
    <t>PAGADO</t>
  </si>
  <si>
    <t>NUEVO VALOR</t>
  </si>
  <si>
    <t>Deuda total</t>
  </si>
  <si>
    <t>Pago de deuda</t>
  </si>
  <si>
    <t>Resultado de deuda</t>
  </si>
  <si>
    <t>Comportamiento de deuda</t>
  </si>
  <si>
    <t>Arriendo</t>
  </si>
  <si>
    <t>INGRESOS</t>
  </si>
  <si>
    <t>Tarjeta Davivienda</t>
  </si>
  <si>
    <t>Ahorros Davivienda</t>
  </si>
  <si>
    <t>T NuBank</t>
  </si>
  <si>
    <t>Crédito del papá</t>
  </si>
  <si>
    <t>Celular</t>
  </si>
  <si>
    <t>Agua</t>
  </si>
  <si>
    <t>Energía</t>
  </si>
  <si>
    <t>Gas</t>
  </si>
  <si>
    <t>Internet</t>
  </si>
  <si>
    <t>Ahorro mensual</t>
  </si>
  <si>
    <t>Mercado</t>
  </si>
  <si>
    <t>Inges sobrinos</t>
  </si>
  <si>
    <t>Almuerzos</t>
  </si>
  <si>
    <t>T Davivienda</t>
  </si>
  <si>
    <t>TOTAL DISPONIBLE</t>
  </si>
  <si>
    <t>Saqué del ahorro para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</si>
</sst>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.00"/>
    <numFmt numFmtId="166" formatCode="&quot;$&quot;\ #,##0"/>
    <numFmt numFmtId="167" formatCode="#,##0_ ;[Red]\-#,##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Arial Narrow"/>
      <family val="2"/>
    </font>
    <font>
      <b/>
      <sz val="13"/>
      <color theme="0"/>
      <name val="Arial Narrow"/>
      <family val="2"/>
    </font>
    <font>
      <b/>
      <sz val="14"/>
      <color theme="0"/>
      <name val="Arial Narrow"/>
      <family val="2"/>
    </font>
    <font>
      <b/>
      <sz val="28"/>
      <color theme="0"/>
      <name val="Arial Narrow"/>
      <family val="2"/>
    </font>
    <font>
      <sz val="11"/>
      <color rgb="FFCC99FF"/>
      <name val="Arial Narrow"/>
      <family val="2"/>
    </font>
    <font>
      <sz val="12"/>
      <color theme="1" tint="0.34998626667073579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ECD9FF"/>
        <bgColor indexed="64"/>
      </patternFill>
    </fill>
    <fill>
      <patternFill patternType="solid">
        <fgColor rgb="FFF2E5FF"/>
        <bgColor indexed="64"/>
      </patternFill>
    </fill>
    <fill>
      <patternFill patternType="solid">
        <fgColor rgb="FFF7EF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slantDashDot">
        <color theme="0" tint="-4.9989318521683403E-2"/>
      </left>
      <right style="slantDashDot">
        <color theme="0" tint="-4.9989318521683403E-2"/>
      </right>
      <top style="slantDashDot">
        <color theme="0" tint="-4.9989318521683403E-2"/>
      </top>
      <bottom style="slantDashDot">
        <color theme="0" tint="-4.9989318521683403E-2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6" fillId="10" borderId="2" xfId="0" applyFont="1" applyFill="1" applyBorder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0" fontId="2" fillId="7" borderId="21" xfId="0" applyFont="1" applyFill="1" applyBorder="1"/>
    <xf numFmtId="0" fontId="10" fillId="7" borderId="22" xfId="0" applyFont="1" applyFill="1" applyBorder="1"/>
    <xf numFmtId="9" fontId="10" fillId="7" borderId="22" xfId="2" applyFont="1" applyFill="1" applyBorder="1"/>
    <xf numFmtId="0" fontId="2" fillId="7" borderId="22" xfId="0" applyFont="1" applyFill="1" applyBorder="1"/>
    <xf numFmtId="0" fontId="2" fillId="7" borderId="23" xfId="0" applyFont="1" applyFill="1" applyBorder="1"/>
    <xf numFmtId="0" fontId="2" fillId="7" borderId="24" xfId="0" applyFont="1" applyFill="1" applyBorder="1"/>
    <xf numFmtId="0" fontId="10" fillId="7" borderId="0" xfId="0" applyFont="1" applyFill="1" applyBorder="1"/>
    <xf numFmtId="9" fontId="10" fillId="7" borderId="0" xfId="2" applyFont="1" applyFill="1" applyBorder="1"/>
    <xf numFmtId="0" fontId="2" fillId="7" borderId="0" xfId="0" applyFont="1" applyFill="1" applyBorder="1"/>
    <xf numFmtId="0" fontId="2" fillId="7" borderId="25" xfId="0" applyFont="1" applyFill="1" applyBorder="1"/>
    <xf numFmtId="0" fontId="2" fillId="7" borderId="26" xfId="0" applyFont="1" applyFill="1" applyBorder="1"/>
    <xf numFmtId="0" fontId="10" fillId="7" borderId="27" xfId="0" applyFont="1" applyFill="1" applyBorder="1"/>
    <xf numFmtId="9" fontId="10" fillId="7" borderId="27" xfId="2" applyFont="1" applyFill="1" applyBorder="1"/>
    <xf numFmtId="0" fontId="2" fillId="7" borderId="27" xfId="0" applyFont="1" applyFill="1" applyBorder="1"/>
    <xf numFmtId="0" fontId="2" fillId="7" borderId="28" xfId="0" applyFont="1" applyFill="1" applyBorder="1"/>
    <xf numFmtId="0" fontId="2" fillId="0" borderId="0" xfId="0" applyFont="1" applyFill="1" applyBorder="1"/>
    <xf numFmtId="0" fontId="10" fillId="0" borderId="0" xfId="0" applyFont="1" applyFill="1" applyBorder="1"/>
    <xf numFmtId="9" fontId="10" fillId="0" borderId="0" xfId="2" applyFont="1" applyFill="1" applyBorder="1"/>
    <xf numFmtId="0" fontId="2" fillId="0" borderId="0" xfId="0" applyFont="1" applyFill="1"/>
    <xf numFmtId="165" fontId="11" fillId="0" borderId="29" xfId="0" applyNumberFormat="1" applyFont="1" applyBorder="1" applyAlignment="1">
      <alignment horizontal="center" vertical="center"/>
    </xf>
    <xf numFmtId="0" fontId="3" fillId="0" borderId="0" xfId="0" applyFont="1"/>
    <xf numFmtId="9" fontId="3" fillId="0" borderId="0" xfId="2" applyFont="1"/>
    <xf numFmtId="0" fontId="2" fillId="0" borderId="13" xfId="0" applyFont="1" applyBorder="1"/>
    <xf numFmtId="164" fontId="2" fillId="0" borderId="16" xfId="1" applyNumberFormat="1" applyFont="1" applyBorder="1"/>
    <xf numFmtId="0" fontId="2" fillId="0" borderId="14" xfId="0" applyFont="1" applyBorder="1"/>
    <xf numFmtId="164" fontId="2" fillId="0" borderId="17" xfId="1" applyNumberFormat="1" applyFont="1" applyBorder="1"/>
    <xf numFmtId="9" fontId="2" fillId="0" borderId="0" xfId="2" applyFont="1"/>
    <xf numFmtId="0" fontId="2" fillId="0" borderId="15" xfId="0" applyFont="1" applyBorder="1"/>
    <xf numFmtId="164" fontId="2" fillId="0" borderId="20" xfId="1" applyNumberFormat="1" applyFont="1" applyBorder="1"/>
    <xf numFmtId="14" fontId="2" fillId="0" borderId="13" xfId="0" applyNumberFormat="1" applyFont="1" applyBorder="1"/>
    <xf numFmtId="0" fontId="2" fillId="0" borderId="3" xfId="0" applyFont="1" applyBorder="1"/>
    <xf numFmtId="44" fontId="2" fillId="0" borderId="3" xfId="1" applyFont="1" applyBorder="1"/>
    <xf numFmtId="0" fontId="2" fillId="0" borderId="1" xfId="0" applyFont="1" applyBorder="1"/>
    <xf numFmtId="44" fontId="2" fillId="0" borderId="1" xfId="1" applyFont="1" applyBorder="1"/>
    <xf numFmtId="0" fontId="6" fillId="8" borderId="14" xfId="0" applyFont="1" applyFill="1" applyBorder="1"/>
    <xf numFmtId="167" fontId="2" fillId="0" borderId="16" xfId="1" applyNumberFormat="1" applyFont="1" applyBorder="1"/>
    <xf numFmtId="167" fontId="2" fillId="0" borderId="17" xfId="1" applyNumberFormat="1" applyFont="1" applyBorder="1"/>
    <xf numFmtId="8" fontId="4" fillId="8" borderId="2" xfId="1" applyNumberFormat="1" applyFont="1" applyFill="1" applyBorder="1"/>
    <xf numFmtId="6" fontId="6" fillId="10" borderId="2" xfId="1" applyNumberFormat="1" applyFont="1" applyFill="1" applyBorder="1"/>
    <xf numFmtId="6" fontId="6" fillId="8" borderId="2" xfId="1" applyNumberFormat="1" applyFont="1" applyFill="1" applyBorder="1"/>
    <xf numFmtId="6" fontId="4" fillId="8" borderId="2" xfId="1" applyNumberFormat="1" applyFont="1" applyFill="1" applyBorder="1"/>
    <xf numFmtId="167" fontId="2" fillId="10" borderId="16" xfId="1" applyNumberFormat="1" applyFont="1" applyFill="1" applyBorder="1"/>
    <xf numFmtId="0" fontId="5" fillId="10" borderId="13" xfId="0" applyFont="1" applyFill="1" applyBorder="1" applyAlignment="1">
      <alignment horizontal="left"/>
    </xf>
    <xf numFmtId="164" fontId="2" fillId="10" borderId="3" xfId="1" applyNumberFormat="1" applyFont="1" applyFill="1" applyBorder="1"/>
    <xf numFmtId="0" fontId="5" fillId="10" borderId="14" xfId="0" applyFont="1" applyFill="1" applyBorder="1" applyAlignment="1">
      <alignment horizontal="left"/>
    </xf>
    <xf numFmtId="164" fontId="2" fillId="10" borderId="1" xfId="1" applyNumberFormat="1" applyFont="1" applyFill="1" applyBorder="1"/>
    <xf numFmtId="0" fontId="5" fillId="10" borderId="15" xfId="0" applyFont="1" applyFill="1" applyBorder="1" applyAlignment="1">
      <alignment horizontal="left"/>
    </xf>
    <xf numFmtId="164" fontId="2" fillId="10" borderId="8" xfId="1" applyNumberFormat="1" applyFont="1" applyFill="1" applyBorder="1"/>
    <xf numFmtId="164" fontId="2" fillId="10" borderId="17" xfId="1" applyNumberFormat="1" applyFont="1" applyFill="1" applyBorder="1"/>
    <xf numFmtId="0" fontId="4" fillId="10" borderId="7" xfId="0" applyFont="1" applyFill="1" applyBorder="1" applyAlignment="1">
      <alignment horizontal="left"/>
    </xf>
    <xf numFmtId="0" fontId="4" fillId="9" borderId="11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164" fontId="4" fillId="9" borderId="11" xfId="1" applyNumberFormat="1" applyFont="1" applyFill="1" applyBorder="1" applyAlignment="1">
      <alignment horizontal="center" vertical="center"/>
    </xf>
    <xf numFmtId="164" fontId="4" fillId="9" borderId="30" xfId="1" applyNumberFormat="1" applyFont="1" applyFill="1" applyBorder="1" applyAlignment="1">
      <alignment horizontal="center" vertical="center"/>
    </xf>
    <xf numFmtId="164" fontId="4" fillId="9" borderId="7" xfId="1" applyNumberFormat="1" applyFont="1" applyFill="1" applyBorder="1" applyAlignment="1">
      <alignment horizontal="center" vertical="center"/>
    </xf>
    <xf numFmtId="164" fontId="6" fillId="10" borderId="3" xfId="1" applyNumberFormat="1" applyFont="1" applyFill="1" applyBorder="1"/>
    <xf numFmtId="164" fontId="6" fillId="10" borderId="2" xfId="1" applyNumberFormat="1" applyFont="1" applyFill="1" applyBorder="1"/>
    <xf numFmtId="44" fontId="8" fillId="7" borderId="2" xfId="1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164" fontId="4" fillId="9" borderId="11" xfId="1" applyNumberFormat="1" applyFont="1" applyFill="1" applyBorder="1" applyAlignment="1">
      <alignment horizontal="center" vertical="center"/>
    </xf>
    <xf numFmtId="164" fontId="4" fillId="9" borderId="30" xfId="1" applyNumberFormat="1" applyFont="1" applyFill="1" applyBorder="1" applyAlignment="1">
      <alignment horizontal="center" vertical="center"/>
    </xf>
    <xf numFmtId="164" fontId="4" fillId="9" borderId="7" xfId="1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166" fontId="4" fillId="10" borderId="13" xfId="1" applyNumberFormat="1" applyFont="1" applyFill="1" applyBorder="1" applyAlignment="1">
      <alignment horizontal="center" vertical="center"/>
    </xf>
    <xf numFmtId="166" fontId="4" fillId="10" borderId="3" xfId="1" applyNumberFormat="1" applyFont="1" applyFill="1" applyBorder="1" applyAlignment="1">
      <alignment horizontal="center" vertical="center"/>
    </xf>
    <xf numFmtId="166" fontId="4" fillId="10" borderId="15" xfId="1" applyNumberFormat="1" applyFont="1" applyFill="1" applyBorder="1" applyAlignment="1">
      <alignment horizontal="center" vertical="center"/>
    </xf>
    <xf numFmtId="166" fontId="4" fillId="10" borderId="8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5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F7EFFF"/>
      <color rgb="FFCC99FF"/>
      <color rgb="FFECD9FF"/>
      <color rgb="FFF2E5FF"/>
      <color rgb="FFDEBD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2FA-4C6B-B6AF-158629A6C4D8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FA-4C6B-B6AF-158629A6C4D8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2FA-4C6B-B6AF-158629A6C4D8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FA-4C6B-B6AF-158629A6C4D8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D5-47F5-8F74-EE6E43B9AF62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5D5-47F5-8F74-EE6E43B9AF62}"/>
              </c:ext>
            </c:extLst>
          </c:dPt>
          <c:cat>
            <c:strRef>
              <c:f>ENERO!$B$2:$B$7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ENERO!$C$2:$C$7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A-4C6B-B6AF-158629A6C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FA-4166-85F7-6F82871B70BF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FA-4166-85F7-6F82871B70BF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FA-4166-85F7-6F82871B70BF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FA-4166-85F7-6F82871B70BF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FA-4166-85F7-6F82871B70BF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FA-4166-85F7-6F82871B70BF}"/>
              </c:ext>
            </c:extLst>
          </c:dPt>
          <c:cat>
            <c:strRef>
              <c:f>FEBRERO!$B$2:$B$7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FEBRERO!$C$2:$C$7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FA-4166-85F7-6F82871B7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FE-40D0-80BE-49C54EC9F8DA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FE-40D0-80BE-49C54EC9F8DA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FE-40D0-80BE-49C54EC9F8DA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FE-40D0-80BE-49C54EC9F8DA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DFE-40D0-80BE-49C54EC9F8DA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DFE-40D0-80BE-49C54EC9F8DA}"/>
              </c:ext>
            </c:extLst>
          </c:dPt>
          <c:cat>
            <c:strRef>
              <c:f>MARZO!$B$2:$B$7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MARZO!$C$2:$C$7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DFE-40D0-80BE-49C54EC9F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A6-492D-9915-8117FB1246B0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A6-492D-9915-8117FB1246B0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A6-492D-9915-8117FB1246B0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A6-492D-9915-8117FB1246B0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A6-492D-9915-8117FB1246B0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A6-492D-9915-8117FB1246B0}"/>
              </c:ext>
            </c:extLst>
          </c:dPt>
          <c:cat>
            <c:strRef>
              <c:f>ABRIL!$B$2:$B$7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ABRIL!$C$2:$C$7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7A6-492D-9915-8117FB124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6E-4402-B80E-2D3D89BB7066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6E-4402-B80E-2D3D89BB7066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6E-4402-B80E-2D3D89BB7066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6E-4402-B80E-2D3D89BB7066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6E-4402-B80E-2D3D89BB7066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46E-4402-B80E-2D3D89BB7066}"/>
              </c:ext>
            </c:extLst>
          </c:dPt>
          <c:cat>
            <c:strRef>
              <c:f>MAYO!$B$2:$B$7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MAYO!$C$2:$C$7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46E-4402-B80E-2D3D89BB7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40-4A30-960A-1CC859B86858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40-4A30-960A-1CC859B86858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40-4A30-960A-1CC859B86858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40-4A30-960A-1CC859B86858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40-4A30-960A-1CC859B86858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640-4A30-960A-1CC859B86858}"/>
              </c:ext>
            </c:extLst>
          </c:dPt>
          <c:cat>
            <c:strRef>
              <c:f>JUNIO!$B$2:$B$7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JUNIO!$C$2:$C$7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40-4A30-960A-1CC859B86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38-424D-A26F-CFDA3AC2AAF3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38-424D-A26F-CFDA3AC2AAF3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38-424D-A26F-CFDA3AC2AAF3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38-424D-A26F-CFDA3AC2AAF3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38-424D-A26F-CFDA3AC2AAF3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38-424D-A26F-CFDA3AC2AAF3}"/>
              </c:ext>
            </c:extLst>
          </c:dPt>
          <c:cat>
            <c:strRef>
              <c:f>JULIO!$B$2:$B$7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JULIO!$C$2:$C$7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38-424D-A26F-CFDA3AC2A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7A-4EA5-A592-099A16F08B08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7A-4EA5-A592-099A16F08B08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7A-4EA5-A592-099A16F08B08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7A-4EA5-A592-099A16F08B08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7A-4EA5-A592-099A16F08B08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7A-4EA5-A592-099A16F08B08}"/>
              </c:ext>
            </c:extLst>
          </c:dPt>
          <c:cat>
            <c:strRef>
              <c:f>AGOSTO!$B$2:$B$7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AGOSTO!$C$2:$C$7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7A-4EA5-A592-099A16F08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2F-40CE-B188-8E0B096229B5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2F-40CE-B188-8E0B096229B5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2F-40CE-B188-8E0B096229B5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2F-40CE-B188-8E0B096229B5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2F-40CE-B188-8E0B096229B5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92F-40CE-B188-8E0B096229B5}"/>
              </c:ext>
            </c:extLst>
          </c:dPt>
          <c:cat>
            <c:strRef>
              <c:f>SEPTIEMBRE!$B$2:$B$7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SEPTIEMBRE!$C$2:$C$7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92F-40CE-B188-8E0B09622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62-4173-ADC1-60B9678AB662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62-4173-ADC1-60B9678AB662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62-4173-ADC1-60B9678AB662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62-4173-ADC1-60B9678AB662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62-4173-ADC1-60B9678AB662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362-4173-ADC1-60B9678AB662}"/>
              </c:ext>
            </c:extLst>
          </c:dPt>
          <c:cat>
            <c:strRef>
              <c:f>OCTUBRE!$B$2:$B$7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OCTUBRE!$C$2:$C$7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362-4173-ADC1-60B9678AB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A0-4402-895B-99E520B7D2A6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A0-4402-895B-99E520B7D2A6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A0-4402-895B-99E520B7D2A6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A0-4402-895B-99E520B7D2A6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A0-4402-895B-99E520B7D2A6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A0-4402-895B-99E520B7D2A6}"/>
              </c:ext>
            </c:extLst>
          </c:dPt>
          <c:cat>
            <c:strRef>
              <c:f>NOVIEMBRE!$B$2:$B$7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NOVIEMBRE!$C$2:$C$7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4A0-4402-895B-99E520B7D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A1-4CA8-8846-F711191A2494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A1-4CA8-8846-F711191A2494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A1-4CA8-8846-F711191A2494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A1-4CA8-8846-F711191A2494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DA1-4CA8-8846-F711191A2494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DA1-4CA8-8846-F711191A2494}"/>
              </c:ext>
            </c:extLst>
          </c:dPt>
          <c:cat>
            <c:strRef>
              <c:f>DICIEMBRE!$B$2:$B$7</c:f>
              <c:strCache>
                <c:ptCount val="6"/>
                <c:pt idx="0">
                  <c:v>Ingresos</c:v>
                </c:pt>
                <c:pt idx="1">
                  <c:v>Fijos</c:v>
                </c:pt>
                <c:pt idx="2">
                  <c:v>Variables</c:v>
                </c:pt>
                <c:pt idx="3">
                  <c:v>Inversion</c:v>
                </c:pt>
                <c:pt idx="4">
                  <c:v>Ocio</c:v>
                </c:pt>
                <c:pt idx="5">
                  <c:v>Ahorro</c:v>
                </c:pt>
              </c:strCache>
            </c:strRef>
          </c:cat>
          <c:val>
            <c:numRef>
              <c:f>DICIEMBRE!$C$2:$C$7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A1-4CA8-8846-F711191A2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Ingresos</a:t>
            </a:r>
            <a:r>
              <a:rPr lang="es-CO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 vs Egresos</a:t>
            </a:r>
            <a:endParaRPr lang="es-CO">
              <a:solidFill>
                <a:sysClr val="windowText" lastClr="000000"/>
              </a:solidFill>
              <a:latin typeface="Arial Narrow" panose="020B0606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'RESUMEN ANUAL'!$A$10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DEBDFF"/>
            </a:solidFill>
            <a:ln>
              <a:noFill/>
            </a:ln>
            <a:effectLst/>
            <a:sp3d/>
          </c:spPr>
          <c:invertIfNegative val="0"/>
          <c:cat>
            <c:strRef>
              <c:f>'RESUMEN ANUAL'!$B$9:$M$9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ANUAL'!$B$10:$M$10</c:f>
              <c:numCache>
                <c:formatCode>"$"\ #,##0.00</c:formatCode>
                <c:ptCount val="12"/>
                <c:pt idx="0">
                  <c:v>5000000</c:v>
                </c:pt>
                <c:pt idx="1">
                  <c:v>5000000</c:v>
                </c:pt>
                <c:pt idx="2">
                  <c:v>5000000</c:v>
                </c:pt>
                <c:pt idx="3">
                  <c:v>5000000</c:v>
                </c:pt>
                <c:pt idx="4">
                  <c:v>5000000</c:v>
                </c:pt>
                <c:pt idx="5">
                  <c:v>5000000</c:v>
                </c:pt>
                <c:pt idx="6">
                  <c:v>5000000</c:v>
                </c:pt>
                <c:pt idx="7">
                  <c:v>5000000</c:v>
                </c:pt>
                <c:pt idx="8">
                  <c:v>5000000</c:v>
                </c:pt>
                <c:pt idx="9">
                  <c:v>5000000</c:v>
                </c:pt>
                <c:pt idx="10">
                  <c:v>5000000</c:v>
                </c:pt>
                <c:pt idx="11">
                  <c:v>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C-40A3-97CA-419AE8DCE5CB}"/>
            </c:ext>
          </c:extLst>
        </c:ser>
        <c:ser>
          <c:idx val="1"/>
          <c:order val="1"/>
          <c:tx>
            <c:strRef>
              <c:f>'RESUMEN ANUAL'!$A$11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'RESUMEN ANUAL'!$B$9:$M$9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ANUAL'!$B$11:$M$11</c:f>
              <c:numCache>
                <c:formatCode>"$"\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C-40A3-97CA-419AE8DCE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0353960"/>
        <c:axId val="1030348712"/>
        <c:axId val="0"/>
      </c:bar3DChart>
      <c:catAx>
        <c:axId val="103035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O"/>
          </a:p>
        </c:txPr>
        <c:crossAx val="1030348712"/>
        <c:crosses val="autoZero"/>
        <c:auto val="1"/>
        <c:lblAlgn val="ctr"/>
        <c:lblOffset val="100"/>
        <c:noMultiLvlLbl val="0"/>
      </c:catAx>
      <c:valAx>
        <c:axId val="103034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O"/>
          </a:p>
        </c:txPr>
        <c:crossAx val="1030353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Ahorro</a:t>
            </a:r>
            <a:r>
              <a:rPr lang="es-CO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 / Inversiones</a:t>
            </a:r>
            <a:endParaRPr lang="es-CO">
              <a:solidFill>
                <a:sysClr val="windowText" lastClr="000000"/>
              </a:solidFill>
              <a:latin typeface="Arial Narrow" panose="020B0606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 ANUAL'!$A$15</c:f>
              <c:strCache>
                <c:ptCount val="1"/>
                <c:pt idx="0">
                  <c:v>Ahorro/Inversion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'RESUMEN ANUAL'!$B$14:$M$14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ANUAL'!$B$15:$M$15</c:f>
              <c:numCache>
                <c:formatCode>"$"\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C-4A3C-AA32-A49100177EB1}"/>
            </c:ext>
          </c:extLst>
        </c:ser>
        <c:ser>
          <c:idx val="1"/>
          <c:order val="1"/>
          <c:tx>
            <c:strRef>
              <c:f>'RESUMEN ANUAL'!$A$17</c:f>
              <c:strCache>
                <c:ptCount val="1"/>
                <c:pt idx="0">
                  <c:v>Resultado de la inversion</c:v>
                </c:pt>
              </c:strCache>
            </c:strRef>
          </c:tx>
          <c:spPr>
            <a:ln w="28575" cap="rnd">
              <a:solidFill>
                <a:srgbClr val="CC99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EBDFF"/>
              </a:solidFill>
              <a:ln w="9525">
                <a:solidFill>
                  <a:srgbClr val="CC99FF"/>
                </a:solidFill>
              </a:ln>
              <a:effectLst/>
            </c:spPr>
          </c:marker>
          <c:cat>
            <c:strRef>
              <c:f>'RESUMEN ANUAL'!$B$14:$M$14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ANUAL'!$B$17:$M$17</c:f>
              <c:numCache>
                <c:formatCode>"$"\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C-4A3C-AA32-A4910017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804440"/>
        <c:axId val="1143796568"/>
      </c:lineChart>
      <c:catAx>
        <c:axId val="114380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3796568"/>
        <c:crosses val="autoZero"/>
        <c:auto val="1"/>
        <c:lblAlgn val="ctr"/>
        <c:lblOffset val="100"/>
        <c:noMultiLvlLbl val="0"/>
      </c:catAx>
      <c:valAx>
        <c:axId val="1143796568"/>
        <c:scaling>
          <c:orientation val="minMax"/>
          <c:max val="5000000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3804440"/>
        <c:crosses val="autoZero"/>
        <c:crossBetween val="between"/>
        <c:majorUnit val="28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Deuda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'RESUMEN ANUAL'!$A$22</c:f>
              <c:strCache>
                <c:ptCount val="1"/>
                <c:pt idx="0">
                  <c:v>Resultado de deuda</c:v>
                </c:pt>
              </c:strCache>
            </c:strRef>
          </c:tx>
          <c:spPr>
            <a:solidFill>
              <a:srgbClr val="DEBDFF"/>
            </a:solidFill>
            <a:ln>
              <a:noFill/>
            </a:ln>
            <a:effectLst/>
            <a:sp3d/>
          </c:spPr>
          <c:invertIfNegative val="0"/>
          <c:cat>
            <c:strRef>
              <c:f>'RESUMEN ANUAL'!$B$19:$M$19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ANUAL'!$B$22:$M$22</c:f>
              <c:numCache>
                <c:formatCode>"$"\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2-47DB-9E98-6AA618F36125}"/>
            </c:ext>
          </c:extLst>
        </c:ser>
        <c:ser>
          <c:idx val="1"/>
          <c:order val="1"/>
          <c:tx>
            <c:strRef>
              <c:f>'RESUMEN ANUAL'!$A$23</c:f>
              <c:strCache>
                <c:ptCount val="1"/>
                <c:pt idx="0">
                  <c:v>Comportamiento de deuda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'RESUMEN ANUAL'!$B$19:$M$19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ANUAL'!$B$23:$M$23</c:f>
              <c:numCache>
                <c:formatCode>"$"\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2-47DB-9E98-6AA618F36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0474384"/>
        <c:axId val="1040477336"/>
        <c:axId val="0"/>
      </c:bar3DChart>
      <c:catAx>
        <c:axId val="104047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477336"/>
        <c:crosses val="autoZero"/>
        <c:auto val="1"/>
        <c:lblAlgn val="ctr"/>
        <c:lblOffset val="100"/>
        <c:noMultiLvlLbl val="0"/>
      </c:catAx>
      <c:valAx>
        <c:axId val="104047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47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0703F-EE17-4518-AE31-84E542BB3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2C4E6198-B432-4F29-9D66-4B5599DE6281}"/>
            </a:ext>
          </a:extLst>
        </xdr:cNvPr>
        <xdr:cNvSpPr/>
      </xdr:nvSpPr>
      <xdr:spPr>
        <a:xfrm>
          <a:off x="4955970" y="2954857"/>
          <a:ext cx="1098022" cy="401108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8</xdr:col>
      <xdr:colOff>698518</xdr:colOff>
      <xdr:row>1</xdr:row>
      <xdr:rowOff>73024</xdr:rowOff>
    </xdr:from>
    <xdr:to>
      <xdr:col>10</xdr:col>
      <xdr:colOff>554056</xdr:colOff>
      <xdr:row>5</xdr:row>
      <xdr:rowOff>107468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2299F8-35C5-4249-AA3F-5CEF9915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3456" y="255587"/>
          <a:ext cx="3260725" cy="732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464CD4E8-D1CB-400B-A40A-6C977C3D0C3F}"/>
            </a:ext>
          </a:extLst>
        </xdr:cNvPr>
        <xdr:cNvSpPr txBox="1"/>
      </xdr:nvSpPr>
      <xdr:spPr>
        <a:xfrm>
          <a:off x="336550" y="238124"/>
          <a:ext cx="7243763" cy="942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D4E60-1139-4B3B-8F18-B853FB7B7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7B8C875C-0797-4F34-B7BE-74B051129B65}"/>
            </a:ext>
          </a:extLst>
        </xdr:cNvPr>
        <xdr:cNvSpPr/>
      </xdr:nvSpPr>
      <xdr:spPr>
        <a:xfrm>
          <a:off x="4952795" y="2970732"/>
          <a:ext cx="1099609" cy="4042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849312</xdr:colOff>
      <xdr:row>1</xdr:row>
      <xdr:rowOff>73024</xdr:rowOff>
    </xdr:from>
    <xdr:to>
      <xdr:col>9</xdr:col>
      <xdr:colOff>474662</xdr:colOff>
      <xdr:row>5</xdr:row>
      <xdr:rowOff>104293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45A39A-6B6F-4786-8B45-CD8BAD6D2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512" y="257174"/>
          <a:ext cx="3251200" cy="739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83C5CA81-2E64-444C-8D95-D3820FDEAA61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E23D9-2AA0-4765-905E-44670A60E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340F6C27-C5CF-4888-87BA-D336D873F48C}"/>
            </a:ext>
          </a:extLst>
        </xdr:cNvPr>
        <xdr:cNvSpPr/>
      </xdr:nvSpPr>
      <xdr:spPr>
        <a:xfrm>
          <a:off x="4952795" y="2970732"/>
          <a:ext cx="1099609" cy="4042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849312</xdr:colOff>
      <xdr:row>1</xdr:row>
      <xdr:rowOff>73024</xdr:rowOff>
    </xdr:from>
    <xdr:to>
      <xdr:col>9</xdr:col>
      <xdr:colOff>474662</xdr:colOff>
      <xdr:row>5</xdr:row>
      <xdr:rowOff>107468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2A46B6-FA72-4226-9FE0-45382E216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512" y="257174"/>
          <a:ext cx="3251200" cy="739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346F787E-D46D-4CF6-86DB-3F0C3E521042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EA138-E3F3-4979-9CCE-54C73E064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F0E96C0C-8A75-4B18-AF21-9E7529BC76A2}"/>
            </a:ext>
          </a:extLst>
        </xdr:cNvPr>
        <xdr:cNvSpPr/>
      </xdr:nvSpPr>
      <xdr:spPr>
        <a:xfrm>
          <a:off x="4952795" y="2970732"/>
          <a:ext cx="1099609" cy="4042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849312</xdr:colOff>
      <xdr:row>1</xdr:row>
      <xdr:rowOff>73024</xdr:rowOff>
    </xdr:from>
    <xdr:to>
      <xdr:col>9</xdr:col>
      <xdr:colOff>474662</xdr:colOff>
      <xdr:row>5</xdr:row>
      <xdr:rowOff>107468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888F78-BCC0-497A-AB27-D0A6F4F64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512" y="257174"/>
          <a:ext cx="3251200" cy="739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BFDB4795-5370-48AE-AFCC-6D42426BCE73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0DA70F-FD0D-4B87-8863-5C919A4B8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43167C79-0E60-4588-BD69-50A9BDA587FF}"/>
            </a:ext>
          </a:extLst>
        </xdr:cNvPr>
        <xdr:cNvSpPr/>
      </xdr:nvSpPr>
      <xdr:spPr>
        <a:xfrm>
          <a:off x="4952795" y="2970732"/>
          <a:ext cx="1099609" cy="4042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849312</xdr:colOff>
      <xdr:row>1</xdr:row>
      <xdr:rowOff>73024</xdr:rowOff>
    </xdr:from>
    <xdr:to>
      <xdr:col>9</xdr:col>
      <xdr:colOff>474662</xdr:colOff>
      <xdr:row>5</xdr:row>
      <xdr:rowOff>107468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6DB02D-C020-474E-BDC1-8D37F65CE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512" y="257174"/>
          <a:ext cx="3251200" cy="739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8A23920C-F1F9-409C-9485-459F75C3C046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36F3C-D76F-4A91-B3BA-59C30E30B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6DCA6D8E-28B7-4A91-8398-EFBD9038485F}"/>
            </a:ext>
          </a:extLst>
        </xdr:cNvPr>
        <xdr:cNvSpPr/>
      </xdr:nvSpPr>
      <xdr:spPr>
        <a:xfrm>
          <a:off x="4952795" y="2970732"/>
          <a:ext cx="1099609" cy="4042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849312</xdr:colOff>
      <xdr:row>1</xdr:row>
      <xdr:rowOff>73024</xdr:rowOff>
    </xdr:from>
    <xdr:to>
      <xdr:col>9</xdr:col>
      <xdr:colOff>474662</xdr:colOff>
      <xdr:row>5</xdr:row>
      <xdr:rowOff>107468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61FDA5-0B3A-4EA8-9AEB-97A3D7023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512" y="257174"/>
          <a:ext cx="3251200" cy="739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8586477E-ACD0-4F45-B118-EE638BE245D5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77494-990D-4FC8-8279-253B33333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93A4BBEE-A419-4CE2-BF70-752A6EE60CE1}"/>
            </a:ext>
          </a:extLst>
        </xdr:cNvPr>
        <xdr:cNvSpPr/>
      </xdr:nvSpPr>
      <xdr:spPr>
        <a:xfrm>
          <a:off x="4952795" y="2970732"/>
          <a:ext cx="1099609" cy="4042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849312</xdr:colOff>
      <xdr:row>1</xdr:row>
      <xdr:rowOff>73024</xdr:rowOff>
    </xdr:from>
    <xdr:to>
      <xdr:col>9</xdr:col>
      <xdr:colOff>474662</xdr:colOff>
      <xdr:row>5</xdr:row>
      <xdr:rowOff>104293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F8D4BC-E082-4FFD-8845-C2A9FC7A6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512" y="257174"/>
          <a:ext cx="3251200" cy="739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898246AC-9EF7-414D-BB3F-8A464491F389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863FC-BF68-4CC0-A427-93232BBCE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70C51BA3-BEDA-4CA9-99F5-D329FE90126E}"/>
            </a:ext>
          </a:extLst>
        </xdr:cNvPr>
        <xdr:cNvSpPr/>
      </xdr:nvSpPr>
      <xdr:spPr>
        <a:xfrm>
          <a:off x="4952795" y="2970732"/>
          <a:ext cx="1099609" cy="4042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849312</xdr:colOff>
      <xdr:row>1</xdr:row>
      <xdr:rowOff>73024</xdr:rowOff>
    </xdr:from>
    <xdr:to>
      <xdr:col>9</xdr:col>
      <xdr:colOff>474662</xdr:colOff>
      <xdr:row>5</xdr:row>
      <xdr:rowOff>104293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99CCCA-D244-4CAC-A4A4-654609C3C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512" y="257174"/>
          <a:ext cx="3251200" cy="739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79175590-4436-4494-8E7C-E727741F4A7B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B22FB-AAFD-412D-8D92-C736FF990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3416B612-B649-4BC5-B6B7-19DB7A2E2A7E}"/>
            </a:ext>
          </a:extLst>
        </xdr:cNvPr>
        <xdr:cNvSpPr/>
      </xdr:nvSpPr>
      <xdr:spPr>
        <a:xfrm>
          <a:off x="4952795" y="2970732"/>
          <a:ext cx="1099609" cy="4042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849312</xdr:colOff>
      <xdr:row>1</xdr:row>
      <xdr:rowOff>73024</xdr:rowOff>
    </xdr:from>
    <xdr:to>
      <xdr:col>9</xdr:col>
      <xdr:colOff>474662</xdr:colOff>
      <xdr:row>5</xdr:row>
      <xdr:rowOff>104293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A0D45D-D312-49CD-81E2-89FC85A9F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512" y="257174"/>
          <a:ext cx="3251200" cy="739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2F8225EC-1F7A-43E1-84C2-7242432F796F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52636-7BFB-440E-AD94-4646664EE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18895757-4A15-4B59-95E1-B0B1050FA921}"/>
            </a:ext>
          </a:extLst>
        </xdr:cNvPr>
        <xdr:cNvSpPr/>
      </xdr:nvSpPr>
      <xdr:spPr>
        <a:xfrm>
          <a:off x="4952795" y="2970732"/>
          <a:ext cx="1099609" cy="4042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849312</xdr:colOff>
      <xdr:row>1</xdr:row>
      <xdr:rowOff>73024</xdr:rowOff>
    </xdr:from>
    <xdr:to>
      <xdr:col>9</xdr:col>
      <xdr:colOff>474662</xdr:colOff>
      <xdr:row>5</xdr:row>
      <xdr:rowOff>104293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7C7D21-C604-4A33-94D5-E258A4C29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512" y="257174"/>
          <a:ext cx="3251200" cy="739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D04C3657-1363-4F7D-8102-CADDE2ACBE0E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C77D2-5E71-4332-8E05-80A81E967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D85A67B5-2B77-4942-B732-6173838484EF}"/>
            </a:ext>
          </a:extLst>
        </xdr:cNvPr>
        <xdr:cNvSpPr/>
      </xdr:nvSpPr>
      <xdr:spPr>
        <a:xfrm>
          <a:off x="4952795" y="2970732"/>
          <a:ext cx="1099609" cy="4042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849312</xdr:colOff>
      <xdr:row>1</xdr:row>
      <xdr:rowOff>73024</xdr:rowOff>
    </xdr:from>
    <xdr:to>
      <xdr:col>9</xdr:col>
      <xdr:colOff>474662</xdr:colOff>
      <xdr:row>5</xdr:row>
      <xdr:rowOff>104293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066E21-7433-42B2-9FD8-6F209C2CA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512" y="257174"/>
          <a:ext cx="3251200" cy="739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93656618-B409-4688-AC6F-A3F8375B7D30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312208</xdr:colOff>
      <xdr:row>9</xdr:row>
      <xdr:rowOff>105833</xdr:rowOff>
    </xdr:from>
    <xdr:to>
      <xdr:col>6</xdr:col>
      <xdr:colOff>709085</xdr:colOff>
      <xdr:row>17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B66BF-43B8-4D60-8D26-E89169790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145845</xdr:colOff>
      <xdr:row>12</xdr:row>
      <xdr:rowOff>81482</xdr:rowOff>
    </xdr:from>
    <xdr:to>
      <xdr:col>5</xdr:col>
      <xdr:colOff>235804</xdr:colOff>
      <xdr:row>13</xdr:row>
      <xdr:rowOff>149215</xdr:rowOff>
    </xdr:to>
    <xdr:sp macro="" textlink="$C$1">
      <xdr:nvSpPr>
        <xdr:cNvPr id="3" name="Rectángulo: esquinas redondeadas 31">
          <a:extLst>
            <a:ext uri="{FF2B5EF4-FFF2-40B4-BE49-F238E27FC236}">
              <a16:creationId xmlns:a16="http://schemas.microsoft.com/office/drawing/2014/main" id="{4A15DE21-05CC-4CFC-91D6-B8976A2B3DF8}"/>
            </a:ext>
          </a:extLst>
        </xdr:cNvPr>
        <xdr:cNvSpPr/>
      </xdr:nvSpPr>
      <xdr:spPr>
        <a:xfrm>
          <a:off x="4952795" y="2970732"/>
          <a:ext cx="1099609" cy="4042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47F47CF-4442-4B50-A535-1C566D42B957}" type="TxLink">
            <a:rPr lang="en-US" sz="2800" b="0" i="0" u="none" strike="noStrike">
              <a:solidFill>
                <a:srgbClr val="000000"/>
              </a:solidFill>
              <a:latin typeface="Arial Narrow" panose="020B0606020202030204" pitchFamily="34" charset="0"/>
              <a:ea typeface="Calibri"/>
              <a:cs typeface="Calibri"/>
            </a:rPr>
            <a:pPr marL="0" indent="0" algn="ctr"/>
            <a:t>0%</a:t>
          </a:fld>
          <a:endParaRPr lang="es-PE" sz="2800" b="0" i="0" u="none" strike="noStrike">
            <a:solidFill>
              <a:srgbClr val="00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849312</xdr:colOff>
      <xdr:row>1</xdr:row>
      <xdr:rowOff>73024</xdr:rowOff>
    </xdr:from>
    <xdr:to>
      <xdr:col>9</xdr:col>
      <xdr:colOff>474662</xdr:colOff>
      <xdr:row>5</xdr:row>
      <xdr:rowOff>104293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D1FDD4-82FD-4026-94E0-5FCC2A975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512" y="257174"/>
          <a:ext cx="3251200" cy="739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5" name="CuadroTexto 29">
          <a:extLst>
            <a:ext uri="{FF2B5EF4-FFF2-40B4-BE49-F238E27FC236}">
              <a16:creationId xmlns:a16="http://schemas.microsoft.com/office/drawing/2014/main" id="{6877CF74-7E49-4208-B8F7-A33CFF7A533B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50801</xdr:colOff>
      <xdr:row>24</xdr:row>
      <xdr:rowOff>33336</xdr:rowOff>
    </xdr:from>
    <xdr:to>
      <xdr:col>4</xdr:col>
      <xdr:colOff>1039813</xdr:colOff>
      <xdr:row>41</xdr:row>
      <xdr:rowOff>111124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3D454-1D53-4414-AC38-71ED595FB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15875</xdr:colOff>
      <xdr:row>24</xdr:row>
      <xdr:rowOff>26980</xdr:rowOff>
    </xdr:from>
    <xdr:to>
      <xdr:col>9</xdr:col>
      <xdr:colOff>1492250</xdr:colOff>
      <xdr:row>41</xdr:row>
      <xdr:rowOff>79375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0E093D-0A96-4330-9C65-7211A40DB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484187</xdr:colOff>
      <xdr:row>1</xdr:row>
      <xdr:rowOff>25399</xdr:rowOff>
    </xdr:from>
    <xdr:to>
      <xdr:col>12</xdr:col>
      <xdr:colOff>693737</xdr:colOff>
      <xdr:row>5</xdr:row>
      <xdr:rowOff>59843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94EC28-46EF-45E7-A781-5C7BBFE16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2625" y="200024"/>
          <a:ext cx="3257550" cy="732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336550</xdr:colOff>
      <xdr:row>1</xdr:row>
      <xdr:rowOff>55561</xdr:rowOff>
    </xdr:from>
    <xdr:to>
      <xdr:col>6</xdr:col>
      <xdr:colOff>388938</xdr:colOff>
      <xdr:row>6</xdr:row>
      <xdr:rowOff>85497</xdr:rowOff>
    </xdr:to>
    <xdr:sp macro="" textlink="">
      <xdr:nvSpPr>
        <xdr:cNvPr id="6" name="CuadroTexto 29">
          <a:extLst>
            <a:ext uri="{FF2B5EF4-FFF2-40B4-BE49-F238E27FC236}">
              <a16:creationId xmlns:a16="http://schemas.microsoft.com/office/drawing/2014/main" id="{C9D4163D-7ADD-445E-B8EA-DB74E4C8DAF4}"/>
            </a:ext>
          </a:extLst>
        </xdr:cNvPr>
        <xdr:cNvSpPr txBox="1"/>
      </xdr:nvSpPr>
      <xdr:spPr>
        <a:xfrm>
          <a:off x="336550" y="239711"/>
          <a:ext cx="7240588" cy="950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4000" b="1">
              <a:solidFill>
                <a:schemeClr val="bg1"/>
              </a:solidFill>
              <a:latin typeface="Montserrat ExtraLight" panose="00000300000000000000" pitchFamily="2" charset="0"/>
            </a:rPr>
            <a:t>FINANZAS PERSONALES</a:t>
          </a:r>
        </a:p>
      </xdr:txBody>
    </xdr:sp>
    <xdr:clientData/>
  </xdr:twoCellAnchor>
  <xdr:twoCellAnchor>
    <xdr:from>
      <xdr:col>10</xdr:col>
      <xdr:colOff>202405</xdr:colOff>
      <xdr:row>24</xdr:row>
      <xdr:rowOff>33337</xdr:rowOff>
    </xdr:from>
    <xdr:to>
      <xdr:col>16</xdr:col>
      <xdr:colOff>603249</xdr:colOff>
      <xdr:row>47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E93A025-663D-4739-AD87-F54470E98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AC64-C192-474B-9B15-79AB25904876}">
  <dimension ref="A1:L48"/>
  <sheetViews>
    <sheetView showGridLines="0" tabSelected="1" zoomScale="70" zoomScaleNormal="70" workbookViewId="0">
      <selection activeCell="L10" sqref="L10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7.7265625" style="6" bestFit="1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3" style="6" customWidth="1"/>
    <col min="11" max="11" width="17.36328125" style="6" customWidth="1"/>
    <col min="12" max="12" width="16.453125" style="6" bestFit="1" customWidth="1"/>
    <col min="13" max="16384" width="8.7265625" style="6"/>
  </cols>
  <sheetData>
    <row r="1" spans="1:12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2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2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2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2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2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2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2" ht="14.5" thickBot="1" x14ac:dyDescent="0.35">
      <c r="B8" s="30"/>
      <c r="C8" s="31"/>
    </row>
    <row r="9" spans="1:12" ht="31" customHeight="1" thickBot="1" x14ac:dyDescent="0.75">
      <c r="B9" s="75" t="s">
        <v>15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2" ht="26.5" customHeight="1" thickBot="1" x14ac:dyDescent="0.35">
      <c r="B10" s="59" t="s">
        <v>0</v>
      </c>
      <c r="C10" s="67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2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</row>
    <row r="12" spans="1:12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2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2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2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2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/>
      <c r="E20" s="40" t="s">
        <v>11</v>
      </c>
      <c r="F20" s="41"/>
      <c r="G20" s="33"/>
    </row>
    <row r="21" spans="2:10" ht="14.5" thickBot="1" x14ac:dyDescent="0.35">
      <c r="B21" s="34"/>
      <c r="C21" s="42"/>
      <c r="D21" s="42"/>
      <c r="E21" s="42" t="s">
        <v>12</v>
      </c>
      <c r="F21" s="43"/>
      <c r="G21" s="35"/>
    </row>
    <row r="22" spans="2:10" ht="18.5" thickBot="1" x14ac:dyDescent="0.45">
      <c r="B22" s="34"/>
      <c r="C22" s="42"/>
      <c r="D22" s="42"/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4"/>
      <c r="C23" s="42"/>
      <c r="D23" s="42"/>
      <c r="E23" s="42" t="s">
        <v>13</v>
      </c>
      <c r="F23" s="41"/>
      <c r="G23" s="35"/>
      <c r="I23" s="32" t="s">
        <v>52</v>
      </c>
      <c r="J23" s="33"/>
    </row>
    <row r="24" spans="2:10" x14ac:dyDescent="0.3">
      <c r="B24" s="34"/>
      <c r="C24" s="42"/>
      <c r="D24" s="42"/>
      <c r="E24" s="42" t="s">
        <v>1</v>
      </c>
      <c r="F24" s="41"/>
      <c r="G24" s="35"/>
      <c r="I24" s="34" t="s">
        <v>20</v>
      </c>
      <c r="J24" s="35"/>
    </row>
    <row r="25" spans="2:10" x14ac:dyDescent="0.3">
      <c r="B25" s="34"/>
      <c r="C25" s="42"/>
      <c r="D25" s="42"/>
      <c r="E25" s="42" t="s">
        <v>11</v>
      </c>
      <c r="F25" s="41"/>
      <c r="G25" s="35"/>
      <c r="I25" s="34" t="s">
        <v>19</v>
      </c>
      <c r="J25" s="35"/>
    </row>
    <row r="26" spans="2:10" x14ac:dyDescent="0.3">
      <c r="B26" s="34"/>
      <c r="C26" s="42"/>
      <c r="D26" s="42"/>
      <c r="E26" s="42" t="s">
        <v>13</v>
      </c>
      <c r="F26" s="41"/>
      <c r="G26" s="35"/>
      <c r="I26" s="34"/>
      <c r="J26" s="35"/>
    </row>
    <row r="27" spans="2:10" x14ac:dyDescent="0.3">
      <c r="B27" s="34"/>
      <c r="C27" s="42"/>
      <c r="D27" s="42"/>
      <c r="E27" s="42" t="s">
        <v>12</v>
      </c>
      <c r="F27" s="41"/>
      <c r="G27" s="35"/>
      <c r="I27" s="34"/>
      <c r="J27" s="35"/>
    </row>
    <row r="28" spans="2:10" ht="14.5" thickBot="1" x14ac:dyDescent="0.35">
      <c r="B28" s="34"/>
      <c r="C28" s="42"/>
      <c r="D28" s="42"/>
      <c r="E28" s="42" t="s">
        <v>1</v>
      </c>
      <c r="F28" s="41"/>
      <c r="G28" s="35"/>
      <c r="I28" s="37"/>
      <c r="J28" s="38"/>
    </row>
    <row r="29" spans="2:10" x14ac:dyDescent="0.3">
      <c r="B29" s="34"/>
      <c r="C29" s="42"/>
      <c r="D29" s="42"/>
      <c r="E29" s="42" t="s">
        <v>2</v>
      </c>
      <c r="F29" s="41"/>
      <c r="G29" s="35"/>
      <c r="I29" s="60" t="s">
        <v>51</v>
      </c>
      <c r="J29" s="63">
        <f>+SUM(J23:J28)</f>
        <v>0</v>
      </c>
    </row>
    <row r="30" spans="2:10" x14ac:dyDescent="0.3">
      <c r="B30" s="34"/>
      <c r="C30" s="42"/>
      <c r="D30" s="42"/>
      <c r="E30" s="42" t="s">
        <v>1</v>
      </c>
      <c r="F30" s="41"/>
      <c r="G30" s="35"/>
      <c r="I30" s="61"/>
      <c r="J30" s="64"/>
    </row>
    <row r="31" spans="2:10" x14ac:dyDescent="0.3">
      <c r="B31" s="34"/>
      <c r="C31" s="42"/>
      <c r="D31" s="42"/>
      <c r="E31" s="42" t="s">
        <v>11</v>
      </c>
      <c r="F31" s="41"/>
      <c r="G31" s="35"/>
      <c r="I31" s="61"/>
      <c r="J31" s="64"/>
    </row>
    <row r="32" spans="2:10" ht="14.5" thickBot="1" x14ac:dyDescent="0.35">
      <c r="B32" s="34"/>
      <c r="C32" s="42"/>
      <c r="D32" s="42"/>
      <c r="E32" s="42" t="s">
        <v>13</v>
      </c>
      <c r="F32" s="41"/>
      <c r="G32" s="35"/>
      <c r="I32" s="62"/>
      <c r="J32" s="65"/>
    </row>
    <row r="33" spans="2:12" x14ac:dyDescent="0.3">
      <c r="B33" s="34"/>
      <c r="C33" s="42"/>
      <c r="D33" s="42"/>
      <c r="E33" s="42" t="s">
        <v>12</v>
      </c>
      <c r="F33" s="41"/>
      <c r="G33" s="35"/>
    </row>
    <row r="34" spans="2:12" ht="14.5" thickBot="1" x14ac:dyDescent="0.35">
      <c r="B34" s="34"/>
      <c r="C34" s="42"/>
      <c r="D34" s="42"/>
      <c r="E34" s="42" t="s">
        <v>1</v>
      </c>
      <c r="F34" s="41"/>
      <c r="G34" s="35"/>
    </row>
    <row r="35" spans="2:12" ht="18.5" thickBot="1" x14ac:dyDescent="0.45">
      <c r="B35" s="34"/>
      <c r="C35" s="42"/>
      <c r="D35" s="42"/>
      <c r="E35" s="42" t="s">
        <v>2</v>
      </c>
      <c r="F35" s="41"/>
      <c r="G35" s="35"/>
      <c r="I35" s="9" t="s">
        <v>53</v>
      </c>
      <c r="J35" s="9" t="s">
        <v>54</v>
      </c>
      <c r="K35" s="9" t="s">
        <v>55</v>
      </c>
      <c r="L35" s="9" t="s">
        <v>56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2"/>
      <c r="J36" s="45"/>
      <c r="K36" s="33"/>
      <c r="L36" s="51">
        <f>+J36+K36</f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4"/>
      <c r="J37" s="46"/>
      <c r="K37" s="33"/>
      <c r="L37" s="51">
        <f t="shared" ref="L37:L43" si="0">+J37+K37</f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4"/>
      <c r="J38" s="46"/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4"/>
      <c r="J39" s="46"/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4"/>
      <c r="J40" s="46"/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4"/>
      <c r="J41" s="46"/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4"/>
      <c r="J42" s="46"/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34"/>
      <c r="J43" s="46"/>
      <c r="K43" s="33"/>
      <c r="L43" s="51">
        <f t="shared" si="0"/>
        <v>0</v>
      </c>
    </row>
    <row r="44" spans="2:12" x14ac:dyDescent="0.3">
      <c r="B44" s="34"/>
      <c r="C44" s="42"/>
      <c r="D44" s="42"/>
      <c r="E44" s="42" t="s">
        <v>13</v>
      </c>
      <c r="F44" s="41"/>
      <c r="G44" s="35"/>
      <c r="I44" s="44" t="s">
        <v>51</v>
      </c>
      <c r="J44" s="46">
        <f>SUM(J36:J43)</f>
        <v>0</v>
      </c>
      <c r="K44" s="35">
        <f>SUM(K36:K43)</f>
        <v>0</v>
      </c>
      <c r="L44" s="51">
        <f>SUM(L36:L43)</f>
        <v>0</v>
      </c>
    </row>
    <row r="45" spans="2:12" ht="14.5" x14ac:dyDescent="0.35">
      <c r="B45" s="34"/>
      <c r="C45" s="42"/>
      <c r="D45" s="42"/>
      <c r="E45" s="42" t="s">
        <v>12</v>
      </c>
      <c r="F45" s="41"/>
      <c r="G45" s="35"/>
      <c r="I45"/>
      <c r="J45"/>
    </row>
    <row r="46" spans="2:12" ht="14.5" x14ac:dyDescent="0.35">
      <c r="B46" s="34"/>
      <c r="C46" s="42"/>
      <c r="D46" s="42"/>
      <c r="E46" s="42" t="s">
        <v>1</v>
      </c>
      <c r="F46" s="41"/>
      <c r="G46" s="35"/>
      <c r="I46"/>
      <c r="J46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47">
        <f>+SUM(F20:F47)-SUM(G20:G47)</f>
        <v>0</v>
      </c>
    </row>
  </sheetData>
  <mergeCells count="7">
    <mergeCell ref="B9:G9"/>
    <mergeCell ref="B48:F48"/>
    <mergeCell ref="B16:C16"/>
    <mergeCell ref="B17:C18"/>
    <mergeCell ref="D10:G18"/>
    <mergeCell ref="I16:I19"/>
    <mergeCell ref="J16:J19"/>
  </mergeCells>
  <conditionalFormatting sqref="B48 E20:E47">
    <cfRule type="cellIs" dxfId="84" priority="1" operator="equal">
      <formula>"Ocio"</formula>
    </cfRule>
    <cfRule type="cellIs" dxfId="83" priority="2" operator="equal">
      <formula>"Inversion"</formula>
    </cfRule>
    <cfRule type="cellIs" dxfId="82" priority="3" operator="equal">
      <formula>"Ahorro"</formula>
    </cfRule>
    <cfRule type="cellIs" dxfId="81" priority="4" operator="equal">
      <formula>"Variables"</formula>
    </cfRule>
    <cfRule type="cellIs" dxfId="80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F4E4C08-920F-41C8-AE95-B98590F4C2F8}">
          <x14:formula1>
            <xm:f>Listas!$A$2:$A$9</xm:f>
          </x14:formula1>
          <xm:sqref>C20:C47</xm:sqref>
        </x14:dataValidation>
        <x14:dataValidation type="list" allowBlank="1" showInputMessage="1" showErrorMessage="1" xr:uid="{C9C44631-4F84-424E-998E-D0C330E1547A}">
          <x14:formula1>
            <xm:f>Listas!$C$2:$C$6</xm:f>
          </x14:formula1>
          <xm:sqref>E20:E47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FEBF-83D5-4B00-B5BF-78519B1E548F}">
  <dimension ref="A1:M48"/>
  <sheetViews>
    <sheetView showGridLines="0" topLeftCell="A12" zoomScale="80" zoomScaleNormal="80" workbookViewId="0">
      <selection activeCell="J35" sqref="J35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4.7265625" style="6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2.90625" style="6" customWidth="1"/>
    <col min="11" max="11" width="10.54296875" style="6" bestFit="1" customWidth="1"/>
    <col min="12" max="12" width="16.453125" style="6" bestFit="1" customWidth="1"/>
    <col min="13" max="16384" width="8.7265625" style="6"/>
  </cols>
  <sheetData>
    <row r="1" spans="1:13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3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3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3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3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3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3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3" ht="14.5" thickBot="1" x14ac:dyDescent="0.35">
      <c r="B8" s="30"/>
      <c r="C8" s="31"/>
    </row>
    <row r="9" spans="1:13" ht="31" customHeight="1" thickBot="1" x14ac:dyDescent="0.75">
      <c r="B9" s="75" t="s">
        <v>21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3" ht="26.5" customHeight="1" thickBot="1" x14ac:dyDescent="0.35">
      <c r="B10" s="59" t="s">
        <v>0</v>
      </c>
      <c r="C10" s="67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3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  <c r="M11" s="36"/>
    </row>
    <row r="12" spans="1:13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3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3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3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3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/>
      <c r="E20" s="40" t="s">
        <v>11</v>
      </c>
      <c r="F20" s="41"/>
      <c r="G20" s="33"/>
    </row>
    <row r="21" spans="2:10" ht="14.5" thickBot="1" x14ac:dyDescent="0.35">
      <c r="B21" s="34"/>
      <c r="C21" s="42"/>
      <c r="D21" s="42"/>
      <c r="E21" s="42" t="s">
        <v>12</v>
      </c>
      <c r="F21" s="43"/>
      <c r="G21" s="35"/>
    </row>
    <row r="22" spans="2:10" ht="18.5" thickBot="1" x14ac:dyDescent="0.45">
      <c r="B22" s="34"/>
      <c r="C22" s="42"/>
      <c r="D22" s="42"/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4"/>
      <c r="C23" s="42"/>
      <c r="D23" s="42"/>
      <c r="E23" s="42" t="s">
        <v>13</v>
      </c>
      <c r="F23" s="41"/>
      <c r="G23" s="35"/>
      <c r="I23" s="32" t="str">
        <f>+ENERO!I23</f>
        <v>Trii</v>
      </c>
      <c r="J23" s="33"/>
    </row>
    <row r="24" spans="2:10" x14ac:dyDescent="0.3">
      <c r="B24" s="34"/>
      <c r="C24" s="42"/>
      <c r="D24" s="42"/>
      <c r="E24" s="42" t="s">
        <v>1</v>
      </c>
      <c r="F24" s="41"/>
      <c r="G24" s="35"/>
      <c r="I24" s="32" t="str">
        <f>+ENERO!I24</f>
        <v>Uala</v>
      </c>
      <c r="J24" s="35"/>
    </row>
    <row r="25" spans="2:10" x14ac:dyDescent="0.3">
      <c r="B25" s="34"/>
      <c r="C25" s="42"/>
      <c r="D25" s="42"/>
      <c r="E25" s="42" t="s">
        <v>11</v>
      </c>
      <c r="F25" s="41"/>
      <c r="G25" s="35"/>
      <c r="I25" s="32" t="str">
        <f>+ENERO!I25</f>
        <v>Nubank</v>
      </c>
      <c r="J25" s="35"/>
    </row>
    <row r="26" spans="2:10" x14ac:dyDescent="0.3">
      <c r="B26" s="34"/>
      <c r="C26" s="42"/>
      <c r="D26" s="42"/>
      <c r="E26" s="42" t="s">
        <v>13</v>
      </c>
      <c r="F26" s="41"/>
      <c r="G26" s="35"/>
      <c r="I26" s="32">
        <f>+ENERO!I26</f>
        <v>0</v>
      </c>
      <c r="J26" s="35"/>
    </row>
    <row r="27" spans="2:10" x14ac:dyDescent="0.3">
      <c r="B27" s="34"/>
      <c r="C27" s="42"/>
      <c r="D27" s="42"/>
      <c r="E27" s="42" t="s">
        <v>12</v>
      </c>
      <c r="F27" s="41"/>
      <c r="G27" s="35"/>
      <c r="I27" s="32">
        <f>+ENERO!I27</f>
        <v>0</v>
      </c>
      <c r="J27" s="35"/>
    </row>
    <row r="28" spans="2:10" ht="14.5" thickBot="1" x14ac:dyDescent="0.35">
      <c r="B28" s="34"/>
      <c r="C28" s="42"/>
      <c r="D28" s="42"/>
      <c r="E28" s="42" t="s">
        <v>1</v>
      </c>
      <c r="F28" s="41"/>
      <c r="G28" s="35"/>
      <c r="I28" s="32">
        <f>+ENERO!I28</f>
        <v>0</v>
      </c>
      <c r="J28" s="38"/>
    </row>
    <row r="29" spans="2:10" x14ac:dyDescent="0.3">
      <c r="B29" s="34"/>
      <c r="C29" s="42"/>
      <c r="D29" s="42"/>
      <c r="E29" s="42" t="s">
        <v>2</v>
      </c>
      <c r="F29" s="41"/>
      <c r="G29" s="35"/>
      <c r="I29" s="69" t="s">
        <v>51</v>
      </c>
      <c r="J29" s="72">
        <f>+SUM(J23:J28)</f>
        <v>0</v>
      </c>
    </row>
    <row r="30" spans="2:10" x14ac:dyDescent="0.3">
      <c r="B30" s="34"/>
      <c r="C30" s="42"/>
      <c r="D30" s="42"/>
      <c r="E30" s="42" t="s">
        <v>1</v>
      </c>
      <c r="F30" s="41"/>
      <c r="G30" s="35"/>
      <c r="I30" s="70"/>
      <c r="J30" s="73"/>
    </row>
    <row r="31" spans="2:10" x14ac:dyDescent="0.3">
      <c r="B31" s="34"/>
      <c r="C31" s="42"/>
      <c r="D31" s="42"/>
      <c r="E31" s="42" t="s">
        <v>11</v>
      </c>
      <c r="F31" s="41"/>
      <c r="G31" s="35"/>
      <c r="I31" s="70"/>
      <c r="J31" s="73"/>
    </row>
    <row r="32" spans="2:10" ht="14.5" thickBot="1" x14ac:dyDescent="0.35">
      <c r="B32" s="34"/>
      <c r="C32" s="42"/>
      <c r="D32" s="42"/>
      <c r="E32" s="42" t="s">
        <v>13</v>
      </c>
      <c r="F32" s="41"/>
      <c r="G32" s="35"/>
      <c r="I32" s="71"/>
      <c r="J32" s="74"/>
    </row>
    <row r="33" spans="2:12" ht="14.5" thickBot="1" x14ac:dyDescent="0.35">
      <c r="B33" s="34"/>
      <c r="C33" s="42"/>
      <c r="D33" s="42"/>
      <c r="E33" s="42" t="s">
        <v>12</v>
      </c>
      <c r="F33" s="41"/>
      <c r="G33" s="35"/>
    </row>
    <row r="34" spans="2:12" ht="18.5" thickBot="1" x14ac:dyDescent="0.45">
      <c r="B34" s="34"/>
      <c r="C34" s="42"/>
      <c r="D34" s="42"/>
      <c r="E34" s="42" t="s">
        <v>1</v>
      </c>
      <c r="F34" s="41"/>
      <c r="G34" s="35"/>
      <c r="I34" s="9" t="s">
        <v>53</v>
      </c>
      <c r="J34" s="9" t="s">
        <v>54</v>
      </c>
      <c r="K34" s="9" t="s">
        <v>55</v>
      </c>
      <c r="L34" s="9" t="s">
        <v>56</v>
      </c>
    </row>
    <row r="35" spans="2:12" x14ac:dyDescent="0.3">
      <c r="B35" s="34"/>
      <c r="C35" s="42"/>
      <c r="D35" s="42"/>
      <c r="E35" s="42" t="s">
        <v>2</v>
      </c>
      <c r="F35" s="41"/>
      <c r="G35" s="35"/>
      <c r="I35" s="32">
        <f>+ENERO!I36</f>
        <v>0</v>
      </c>
      <c r="J35" s="45">
        <f>+ENERO!L36</f>
        <v>0</v>
      </c>
      <c r="K35" s="33"/>
      <c r="L35" s="51">
        <f>+J35+K35</f>
        <v>0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2">
        <f>+ENERO!I37</f>
        <v>0</v>
      </c>
      <c r="J36" s="45">
        <f>+ENERO!L37</f>
        <v>0</v>
      </c>
      <c r="K36" s="33"/>
      <c r="L36" s="51">
        <f t="shared" ref="L36:L42" si="0">+J36+K36</f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2">
        <f>+ENERO!I38</f>
        <v>0</v>
      </c>
      <c r="J37" s="45">
        <f>+ENERO!L38</f>
        <v>0</v>
      </c>
      <c r="K37" s="33"/>
      <c r="L37" s="51">
        <f t="shared" si="0"/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2">
        <f>+ENERO!I39</f>
        <v>0</v>
      </c>
      <c r="J38" s="45">
        <f>+ENERO!L39</f>
        <v>0</v>
      </c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2">
        <f>+ENERO!I40</f>
        <v>0</v>
      </c>
      <c r="J39" s="45">
        <f>+ENERO!L40</f>
        <v>0</v>
      </c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2">
        <f>+ENERO!I41</f>
        <v>0</v>
      </c>
      <c r="J40" s="45">
        <f>+ENERO!L41</f>
        <v>0</v>
      </c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2">
        <f>+ENERO!I42</f>
        <v>0</v>
      </c>
      <c r="J41" s="45">
        <f>+ENERO!L42</f>
        <v>0</v>
      </c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2">
        <f>+ENERO!I43</f>
        <v>0</v>
      </c>
      <c r="J42" s="45">
        <f>+ENERO!L43</f>
        <v>0</v>
      </c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44" t="s">
        <v>51</v>
      </c>
      <c r="J43" s="45">
        <f>SUM(J35:J42)</f>
        <v>0</v>
      </c>
      <c r="K43" s="35">
        <f>SUM(K35:K42)</f>
        <v>0</v>
      </c>
      <c r="L43" s="51">
        <f>SUM(L35:L42)</f>
        <v>0</v>
      </c>
    </row>
    <row r="44" spans="2:12" x14ac:dyDescent="0.3">
      <c r="B44" s="34"/>
      <c r="C44" s="42"/>
      <c r="D44" s="42"/>
      <c r="E44" s="42" t="s">
        <v>13</v>
      </c>
      <c r="F44" s="41"/>
      <c r="G44" s="35"/>
    </row>
    <row r="45" spans="2:12" x14ac:dyDescent="0.3">
      <c r="B45" s="34"/>
      <c r="C45" s="42"/>
      <c r="D45" s="42"/>
      <c r="E45" s="42" t="s">
        <v>12</v>
      </c>
      <c r="F45" s="41"/>
      <c r="G45" s="35"/>
    </row>
    <row r="46" spans="2:12" x14ac:dyDescent="0.3">
      <c r="B46" s="34"/>
      <c r="C46" s="42"/>
      <c r="D46" s="42"/>
      <c r="E46" s="42" t="s">
        <v>1</v>
      </c>
      <c r="F46" s="41"/>
      <c r="G46" s="35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47">
        <f>+SUM(F20:F47)-SUM(G20:G47)</f>
        <v>0</v>
      </c>
    </row>
  </sheetData>
  <mergeCells count="9">
    <mergeCell ref="B48:F48"/>
    <mergeCell ref="I29:I32"/>
    <mergeCell ref="J29:J32"/>
    <mergeCell ref="B9:G9"/>
    <mergeCell ref="D10:G18"/>
    <mergeCell ref="B16:C16"/>
    <mergeCell ref="B17:C18"/>
    <mergeCell ref="I16:I19"/>
    <mergeCell ref="J16:J19"/>
  </mergeCells>
  <conditionalFormatting sqref="B48 E20:E47">
    <cfRule type="cellIs" dxfId="79" priority="1" operator="equal">
      <formula>"Ocio"</formula>
    </cfRule>
    <cfRule type="cellIs" dxfId="78" priority="2" operator="equal">
      <formula>"Inversion"</formula>
    </cfRule>
    <cfRule type="cellIs" dxfId="77" priority="3" operator="equal">
      <formula>"Ahorro"</formula>
    </cfRule>
    <cfRule type="cellIs" dxfId="76" priority="4" operator="equal">
      <formula>"Variables"</formula>
    </cfRule>
    <cfRule type="cellIs" dxfId="75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3D2716F-F6B5-4FF2-B88A-1375DF7FCB9B}">
          <x14:formula1>
            <xm:f>Listas!$C$2:$C$6</xm:f>
          </x14:formula1>
          <xm:sqref>E20:E47</xm:sqref>
        </x14:dataValidation>
        <x14:dataValidation type="list" allowBlank="1" showInputMessage="1" showErrorMessage="1" xr:uid="{EFFAE4CE-A2FC-4A3D-AA77-EC42BA143C70}">
          <x14:formula1>
            <xm:f>Listas!$A$2:$A$9</xm:f>
          </x14:formula1>
          <xm:sqref>C20:C47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750C-F8C1-4622-9DD4-F781F6CDF38D}">
  <dimension ref="A1:M48"/>
  <sheetViews>
    <sheetView showGridLines="0" topLeftCell="A12" zoomScale="80" zoomScaleNormal="80" workbookViewId="0">
      <selection activeCell="J35" sqref="J35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4.7265625" style="6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3" style="6" customWidth="1"/>
    <col min="11" max="11" width="10.54296875" style="6" bestFit="1" customWidth="1"/>
    <col min="12" max="12" width="16.453125" style="6" bestFit="1" customWidth="1"/>
    <col min="13" max="16384" width="8.7265625" style="6"/>
  </cols>
  <sheetData>
    <row r="1" spans="1:13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3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3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3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3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3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3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3" ht="14.5" thickBot="1" x14ac:dyDescent="0.35">
      <c r="B8" s="30"/>
      <c r="C8" s="31"/>
    </row>
    <row r="9" spans="1:13" ht="31" customHeight="1" thickBot="1" x14ac:dyDescent="0.75">
      <c r="B9" s="75" t="s">
        <v>22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3" ht="26.5" customHeight="1" thickBot="1" x14ac:dyDescent="0.35">
      <c r="B10" s="59" t="s">
        <v>0</v>
      </c>
      <c r="C10" s="67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3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  <c r="M11" s="36"/>
    </row>
    <row r="12" spans="1:13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3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3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3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3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/>
      <c r="E20" s="40" t="s">
        <v>11</v>
      </c>
      <c r="F20" s="41"/>
      <c r="G20" s="33"/>
    </row>
    <row r="21" spans="2:10" ht="14.5" thickBot="1" x14ac:dyDescent="0.35">
      <c r="B21" s="34"/>
      <c r="C21" s="42"/>
      <c r="D21" s="42"/>
      <c r="E21" s="42" t="s">
        <v>12</v>
      </c>
      <c r="F21" s="43"/>
      <c r="G21" s="35"/>
    </row>
    <row r="22" spans="2:10" ht="18.5" thickBot="1" x14ac:dyDescent="0.45">
      <c r="B22" s="34"/>
      <c r="C22" s="42"/>
      <c r="D22" s="42"/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4"/>
      <c r="C23" s="42"/>
      <c r="D23" s="42"/>
      <c r="E23" s="42" t="s">
        <v>13</v>
      </c>
      <c r="F23" s="41"/>
      <c r="G23" s="35"/>
      <c r="I23" s="32" t="str">
        <f>+FEBRERO!I23</f>
        <v>Trii</v>
      </c>
      <c r="J23" s="33"/>
    </row>
    <row r="24" spans="2:10" x14ac:dyDescent="0.3">
      <c r="B24" s="34"/>
      <c r="C24" s="42"/>
      <c r="D24" s="42"/>
      <c r="E24" s="42" t="s">
        <v>1</v>
      </c>
      <c r="F24" s="41"/>
      <c r="G24" s="35"/>
      <c r="I24" s="32" t="str">
        <f>+FEBRERO!I24</f>
        <v>Uala</v>
      </c>
      <c r="J24" s="35"/>
    </row>
    <row r="25" spans="2:10" x14ac:dyDescent="0.3">
      <c r="B25" s="34"/>
      <c r="C25" s="42"/>
      <c r="D25" s="42"/>
      <c r="E25" s="42" t="s">
        <v>11</v>
      </c>
      <c r="F25" s="41"/>
      <c r="G25" s="35"/>
      <c r="I25" s="32" t="str">
        <f>+FEBRERO!I25</f>
        <v>Nubank</v>
      </c>
      <c r="J25" s="35"/>
    </row>
    <row r="26" spans="2:10" x14ac:dyDescent="0.3">
      <c r="B26" s="34"/>
      <c r="C26" s="42"/>
      <c r="D26" s="42"/>
      <c r="E26" s="42" t="s">
        <v>13</v>
      </c>
      <c r="F26" s="41"/>
      <c r="G26" s="35"/>
      <c r="I26" s="32">
        <f>+FEBRERO!I26</f>
        <v>0</v>
      </c>
      <c r="J26" s="35"/>
    </row>
    <row r="27" spans="2:10" x14ac:dyDescent="0.3">
      <c r="B27" s="34"/>
      <c r="C27" s="42"/>
      <c r="D27" s="42"/>
      <c r="E27" s="42" t="s">
        <v>12</v>
      </c>
      <c r="F27" s="41"/>
      <c r="G27" s="35"/>
      <c r="I27" s="32">
        <f>+FEBRERO!I27</f>
        <v>0</v>
      </c>
      <c r="J27" s="35"/>
    </row>
    <row r="28" spans="2:10" ht="14.5" thickBot="1" x14ac:dyDescent="0.35">
      <c r="B28" s="34"/>
      <c r="C28" s="42"/>
      <c r="D28" s="42"/>
      <c r="E28" s="42" t="s">
        <v>1</v>
      </c>
      <c r="F28" s="41"/>
      <c r="G28" s="35"/>
      <c r="I28" s="32">
        <f>+FEBRERO!I28</f>
        <v>0</v>
      </c>
      <c r="J28" s="38"/>
    </row>
    <row r="29" spans="2:10" x14ac:dyDescent="0.3">
      <c r="B29" s="34"/>
      <c r="C29" s="42"/>
      <c r="D29" s="42"/>
      <c r="E29" s="42" t="s">
        <v>2</v>
      </c>
      <c r="F29" s="41"/>
      <c r="G29" s="35"/>
      <c r="I29" s="69" t="s">
        <v>51</v>
      </c>
      <c r="J29" s="72">
        <f>+SUM(J23:J28)</f>
        <v>0</v>
      </c>
    </row>
    <row r="30" spans="2:10" x14ac:dyDescent="0.3">
      <c r="B30" s="34"/>
      <c r="C30" s="42"/>
      <c r="D30" s="42"/>
      <c r="E30" s="42" t="s">
        <v>1</v>
      </c>
      <c r="F30" s="41"/>
      <c r="G30" s="35"/>
      <c r="I30" s="70"/>
      <c r="J30" s="73"/>
    </row>
    <row r="31" spans="2:10" x14ac:dyDescent="0.3">
      <c r="B31" s="34"/>
      <c r="C31" s="42"/>
      <c r="D31" s="42"/>
      <c r="E31" s="42" t="s">
        <v>11</v>
      </c>
      <c r="F31" s="41"/>
      <c r="G31" s="35"/>
      <c r="I31" s="70"/>
      <c r="J31" s="73"/>
    </row>
    <row r="32" spans="2:10" ht="14.5" thickBot="1" x14ac:dyDescent="0.35">
      <c r="B32" s="34"/>
      <c r="C32" s="42"/>
      <c r="D32" s="42"/>
      <c r="E32" s="42" t="s">
        <v>13</v>
      </c>
      <c r="F32" s="41"/>
      <c r="G32" s="35"/>
      <c r="I32" s="71"/>
      <c r="J32" s="74"/>
    </row>
    <row r="33" spans="2:12" ht="14.5" thickBot="1" x14ac:dyDescent="0.35">
      <c r="B33" s="34"/>
      <c r="C33" s="42"/>
      <c r="D33" s="42"/>
      <c r="E33" s="42" t="s">
        <v>12</v>
      </c>
      <c r="F33" s="41"/>
      <c r="G33" s="35"/>
    </row>
    <row r="34" spans="2:12" ht="18.5" thickBot="1" x14ac:dyDescent="0.45">
      <c r="B34" s="34"/>
      <c r="C34" s="42"/>
      <c r="D34" s="42"/>
      <c r="E34" s="42" t="s">
        <v>1</v>
      </c>
      <c r="F34" s="41"/>
      <c r="G34" s="35"/>
      <c r="I34" s="9" t="s">
        <v>53</v>
      </c>
      <c r="J34" s="9" t="s">
        <v>54</v>
      </c>
      <c r="K34" s="9" t="s">
        <v>55</v>
      </c>
      <c r="L34" s="9" t="s">
        <v>56</v>
      </c>
    </row>
    <row r="35" spans="2:12" x14ac:dyDescent="0.3">
      <c r="B35" s="34"/>
      <c r="C35" s="42"/>
      <c r="D35" s="42"/>
      <c r="E35" s="42" t="s">
        <v>2</v>
      </c>
      <c r="F35" s="41"/>
      <c r="G35" s="35"/>
      <c r="I35" s="32">
        <f>+FEBRERO!I35</f>
        <v>0</v>
      </c>
      <c r="J35" s="45">
        <f>+FEBRERO!L35</f>
        <v>0</v>
      </c>
      <c r="K35" s="33"/>
      <c r="L35" s="51">
        <f>+J35+K35</f>
        <v>0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2">
        <f>+FEBRERO!I36</f>
        <v>0</v>
      </c>
      <c r="J36" s="45">
        <f>+FEBRERO!L36</f>
        <v>0</v>
      </c>
      <c r="K36" s="33"/>
      <c r="L36" s="51">
        <f t="shared" ref="L36:L42" si="0">+J36+K36</f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2">
        <f>+FEBRERO!I37</f>
        <v>0</v>
      </c>
      <c r="J37" s="45">
        <f>+FEBRERO!L37</f>
        <v>0</v>
      </c>
      <c r="K37" s="33"/>
      <c r="L37" s="51">
        <f t="shared" si="0"/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2">
        <f>+FEBRERO!I38</f>
        <v>0</v>
      </c>
      <c r="J38" s="45">
        <f>+FEBRERO!L38</f>
        <v>0</v>
      </c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2">
        <f>+FEBRERO!I39</f>
        <v>0</v>
      </c>
      <c r="J39" s="45">
        <f>+FEBRERO!L39</f>
        <v>0</v>
      </c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2">
        <f>+FEBRERO!I40</f>
        <v>0</v>
      </c>
      <c r="J40" s="45">
        <f>+FEBRERO!L40</f>
        <v>0</v>
      </c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2">
        <f>+FEBRERO!I41</f>
        <v>0</v>
      </c>
      <c r="J41" s="45">
        <f>+FEBRERO!L41</f>
        <v>0</v>
      </c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2">
        <f>+FEBRERO!I42</f>
        <v>0</v>
      </c>
      <c r="J42" s="45">
        <f>+FEBRERO!L42</f>
        <v>0</v>
      </c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44" t="s">
        <v>51</v>
      </c>
      <c r="J43" s="35">
        <f>SUM(J35:J42)</f>
        <v>0</v>
      </c>
      <c r="K43" s="35">
        <f>SUM(K35:K42)</f>
        <v>0</v>
      </c>
      <c r="L43" s="58">
        <f>SUM(L35:L42)</f>
        <v>0</v>
      </c>
    </row>
    <row r="44" spans="2:12" x14ac:dyDescent="0.3">
      <c r="B44" s="34"/>
      <c r="C44" s="42"/>
      <c r="D44" s="42"/>
      <c r="E44" s="42" t="s">
        <v>13</v>
      </c>
      <c r="F44" s="41"/>
      <c r="G44" s="35"/>
    </row>
    <row r="45" spans="2:12" x14ac:dyDescent="0.3">
      <c r="B45" s="34"/>
      <c r="C45" s="42"/>
      <c r="D45" s="42"/>
      <c r="E45" s="42" t="s">
        <v>12</v>
      </c>
      <c r="F45" s="41"/>
      <c r="G45" s="35"/>
    </row>
    <row r="46" spans="2:12" x14ac:dyDescent="0.3">
      <c r="B46" s="34"/>
      <c r="C46" s="42"/>
      <c r="D46" s="42"/>
      <c r="E46" s="42" t="s">
        <v>1</v>
      </c>
      <c r="F46" s="41"/>
      <c r="G46" s="35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47">
        <f>+SUM(F20:F47)-SUM(G20:G47)</f>
        <v>0</v>
      </c>
    </row>
  </sheetData>
  <mergeCells count="9">
    <mergeCell ref="B48:F48"/>
    <mergeCell ref="I29:I32"/>
    <mergeCell ref="J29:J32"/>
    <mergeCell ref="B9:G9"/>
    <mergeCell ref="D10:G18"/>
    <mergeCell ref="B16:C16"/>
    <mergeCell ref="B17:C18"/>
    <mergeCell ref="I16:I19"/>
    <mergeCell ref="J16:J19"/>
  </mergeCells>
  <conditionalFormatting sqref="B48 E20:E47">
    <cfRule type="cellIs" dxfId="74" priority="1" operator="equal">
      <formula>"Ocio"</formula>
    </cfRule>
    <cfRule type="cellIs" dxfId="73" priority="2" operator="equal">
      <formula>"Inversion"</formula>
    </cfRule>
    <cfRule type="cellIs" dxfId="72" priority="3" operator="equal">
      <formula>"Ahorro"</formula>
    </cfRule>
    <cfRule type="cellIs" dxfId="71" priority="4" operator="equal">
      <formula>"Variables"</formula>
    </cfRule>
    <cfRule type="cellIs" dxfId="70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FA59126-EEF0-42D3-AE21-9B7EE071C1E4}">
          <x14:formula1>
            <xm:f>Listas!$A$2:$A$9</xm:f>
          </x14:formula1>
          <xm:sqref>C20:C47</xm:sqref>
        </x14:dataValidation>
        <x14:dataValidation type="list" allowBlank="1" showInputMessage="1" showErrorMessage="1" xr:uid="{B6A82006-1545-4DAA-A4C3-2EEED242043C}">
          <x14:formula1>
            <xm:f>Listas!$C$2:$C$6</xm:f>
          </x14:formula1>
          <xm:sqref>E20:E47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0A84-99AE-481A-AD36-6FDACEF77F9D}">
  <dimension ref="A1:M48"/>
  <sheetViews>
    <sheetView showGridLines="0" topLeftCell="A12" zoomScale="80" zoomScaleNormal="80" workbookViewId="0">
      <selection activeCell="J42" sqref="J42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4.7265625" style="6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3" style="6" customWidth="1"/>
    <col min="11" max="11" width="10.54296875" style="6" bestFit="1" customWidth="1"/>
    <col min="12" max="12" width="16.453125" style="6" bestFit="1" customWidth="1"/>
    <col min="13" max="16384" width="8.7265625" style="6"/>
  </cols>
  <sheetData>
    <row r="1" spans="1:13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3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3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3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3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3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3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3" ht="14.5" thickBot="1" x14ac:dyDescent="0.35">
      <c r="B8" s="30"/>
      <c r="C8" s="31"/>
    </row>
    <row r="9" spans="1:13" ht="31" customHeight="1" thickBot="1" x14ac:dyDescent="0.75">
      <c r="B9" s="75" t="s">
        <v>23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3" ht="26.5" customHeight="1" thickBot="1" x14ac:dyDescent="0.35">
      <c r="B10" s="59" t="s">
        <v>0</v>
      </c>
      <c r="C10" s="67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3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  <c r="M11" s="36"/>
    </row>
    <row r="12" spans="1:13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3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3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3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3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/>
      <c r="E20" s="40" t="s">
        <v>11</v>
      </c>
      <c r="F20" s="41"/>
      <c r="G20" s="33"/>
    </row>
    <row r="21" spans="2:10" ht="14.5" thickBot="1" x14ac:dyDescent="0.35">
      <c r="B21" s="34"/>
      <c r="C21" s="42"/>
      <c r="D21" s="42"/>
      <c r="E21" s="42" t="s">
        <v>12</v>
      </c>
      <c r="F21" s="43"/>
      <c r="G21" s="35"/>
    </row>
    <row r="22" spans="2:10" ht="18.5" thickBot="1" x14ac:dyDescent="0.45">
      <c r="B22" s="34"/>
      <c r="C22" s="42"/>
      <c r="D22" s="42"/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4"/>
      <c r="C23" s="42"/>
      <c r="D23" s="42"/>
      <c r="E23" s="42" t="s">
        <v>13</v>
      </c>
      <c r="F23" s="41"/>
      <c r="G23" s="35"/>
      <c r="I23" s="32" t="str">
        <f>+MARZO!I23</f>
        <v>Trii</v>
      </c>
      <c r="J23" s="33"/>
    </row>
    <row r="24" spans="2:10" x14ac:dyDescent="0.3">
      <c r="B24" s="34"/>
      <c r="C24" s="42"/>
      <c r="D24" s="42"/>
      <c r="E24" s="42" t="s">
        <v>1</v>
      </c>
      <c r="F24" s="41"/>
      <c r="G24" s="35"/>
      <c r="I24" s="32" t="str">
        <f>+MARZO!I24</f>
        <v>Uala</v>
      </c>
      <c r="J24" s="35"/>
    </row>
    <row r="25" spans="2:10" x14ac:dyDescent="0.3">
      <c r="B25" s="34"/>
      <c r="C25" s="42"/>
      <c r="D25" s="42"/>
      <c r="E25" s="42" t="s">
        <v>11</v>
      </c>
      <c r="F25" s="41"/>
      <c r="G25" s="35"/>
      <c r="I25" s="32" t="str">
        <f>+MARZO!I25</f>
        <v>Nubank</v>
      </c>
      <c r="J25" s="35"/>
    </row>
    <row r="26" spans="2:10" x14ac:dyDescent="0.3">
      <c r="B26" s="34"/>
      <c r="C26" s="42"/>
      <c r="D26" s="42"/>
      <c r="E26" s="42" t="s">
        <v>13</v>
      </c>
      <c r="F26" s="41"/>
      <c r="G26" s="35"/>
      <c r="I26" s="32">
        <f>+MARZO!I26</f>
        <v>0</v>
      </c>
      <c r="J26" s="35"/>
    </row>
    <row r="27" spans="2:10" x14ac:dyDescent="0.3">
      <c r="B27" s="34"/>
      <c r="C27" s="42"/>
      <c r="D27" s="42"/>
      <c r="E27" s="42" t="s">
        <v>12</v>
      </c>
      <c r="F27" s="41"/>
      <c r="G27" s="35"/>
      <c r="I27" s="32">
        <f>+MARZO!I27</f>
        <v>0</v>
      </c>
      <c r="J27" s="35"/>
    </row>
    <row r="28" spans="2:10" ht="14.5" thickBot="1" x14ac:dyDescent="0.35">
      <c r="B28" s="34"/>
      <c r="C28" s="42"/>
      <c r="D28" s="42"/>
      <c r="E28" s="42" t="s">
        <v>1</v>
      </c>
      <c r="F28" s="41"/>
      <c r="G28" s="35"/>
      <c r="I28" s="32">
        <f>+MARZO!I28</f>
        <v>0</v>
      </c>
      <c r="J28" s="38"/>
    </row>
    <row r="29" spans="2:10" x14ac:dyDescent="0.3">
      <c r="B29" s="34"/>
      <c r="C29" s="42"/>
      <c r="D29" s="42"/>
      <c r="E29" s="42" t="s">
        <v>2</v>
      </c>
      <c r="F29" s="41"/>
      <c r="G29" s="35"/>
      <c r="I29" s="69" t="s">
        <v>51</v>
      </c>
      <c r="J29" s="72">
        <f>+SUM(J23:J28)</f>
        <v>0</v>
      </c>
    </row>
    <row r="30" spans="2:10" x14ac:dyDescent="0.3">
      <c r="B30" s="34"/>
      <c r="C30" s="42"/>
      <c r="D30" s="42"/>
      <c r="E30" s="42" t="s">
        <v>1</v>
      </c>
      <c r="F30" s="41"/>
      <c r="G30" s="35"/>
      <c r="I30" s="70"/>
      <c r="J30" s="73"/>
    </row>
    <row r="31" spans="2:10" x14ac:dyDescent="0.3">
      <c r="B31" s="34"/>
      <c r="C31" s="42"/>
      <c r="D31" s="42"/>
      <c r="E31" s="42" t="s">
        <v>11</v>
      </c>
      <c r="F31" s="41"/>
      <c r="G31" s="35"/>
      <c r="I31" s="70"/>
      <c r="J31" s="73"/>
    </row>
    <row r="32" spans="2:10" ht="14.5" thickBot="1" x14ac:dyDescent="0.35">
      <c r="B32" s="34"/>
      <c r="C32" s="42"/>
      <c r="D32" s="42"/>
      <c r="E32" s="42" t="s">
        <v>13</v>
      </c>
      <c r="F32" s="41"/>
      <c r="G32" s="35"/>
      <c r="I32" s="71"/>
      <c r="J32" s="74"/>
    </row>
    <row r="33" spans="2:12" ht="14.5" thickBot="1" x14ac:dyDescent="0.35">
      <c r="B33" s="34"/>
      <c r="C33" s="42"/>
      <c r="D33" s="42"/>
      <c r="E33" s="42" t="s">
        <v>12</v>
      </c>
      <c r="F33" s="41"/>
      <c r="G33" s="35"/>
    </row>
    <row r="34" spans="2:12" ht="18.5" thickBot="1" x14ac:dyDescent="0.45">
      <c r="B34" s="34"/>
      <c r="C34" s="42"/>
      <c r="D34" s="42"/>
      <c r="E34" s="42" t="s">
        <v>1</v>
      </c>
      <c r="F34" s="41"/>
      <c r="G34" s="35"/>
      <c r="I34" s="9" t="s">
        <v>53</v>
      </c>
      <c r="J34" s="9" t="s">
        <v>54</v>
      </c>
      <c r="K34" s="9" t="s">
        <v>55</v>
      </c>
      <c r="L34" s="9" t="s">
        <v>56</v>
      </c>
    </row>
    <row r="35" spans="2:12" x14ac:dyDescent="0.3">
      <c r="B35" s="34"/>
      <c r="C35" s="42"/>
      <c r="D35" s="42"/>
      <c r="E35" s="42" t="s">
        <v>2</v>
      </c>
      <c r="F35" s="41"/>
      <c r="G35" s="35"/>
      <c r="I35" s="32" cm="1">
        <f t="array" ref="I35:I42">+MARZO!I35:I42</f>
        <v>0</v>
      </c>
      <c r="J35" s="45">
        <f>+MARZO!L35</f>
        <v>0</v>
      </c>
      <c r="K35" s="33"/>
      <c r="L35" s="51">
        <f>+J35+K35</f>
        <v>0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4">
        <v>0</v>
      </c>
      <c r="J36" s="45">
        <f>+MARZO!L36</f>
        <v>0</v>
      </c>
      <c r="K36" s="33"/>
      <c r="L36" s="51">
        <f t="shared" ref="L36:L42" si="0">+J36+K36</f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4">
        <v>0</v>
      </c>
      <c r="J37" s="45">
        <f>+MARZO!L37</f>
        <v>0</v>
      </c>
      <c r="K37" s="33"/>
      <c r="L37" s="51">
        <f t="shared" si="0"/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4">
        <v>0</v>
      </c>
      <c r="J38" s="45">
        <f>+MARZO!L38</f>
        <v>0</v>
      </c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4">
        <v>0</v>
      </c>
      <c r="J39" s="45">
        <f>+MARZO!L39</f>
        <v>0</v>
      </c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4">
        <v>0</v>
      </c>
      <c r="J40" s="45">
        <f>+MARZO!L40</f>
        <v>0</v>
      </c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4">
        <v>0</v>
      </c>
      <c r="J41" s="45">
        <f>+MARZO!L41</f>
        <v>0</v>
      </c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4">
        <v>0</v>
      </c>
      <c r="J42" s="45">
        <f>+MARZO!L42</f>
        <v>0</v>
      </c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44" t="s">
        <v>51</v>
      </c>
      <c r="J43" s="35">
        <f>SUM(J35:J42)</f>
        <v>0</v>
      </c>
      <c r="K43" s="35">
        <f>SUM(K35:K42)</f>
        <v>0</v>
      </c>
      <c r="L43" s="58">
        <f>SUM(L35:L42)</f>
        <v>0</v>
      </c>
    </row>
    <row r="44" spans="2:12" x14ac:dyDescent="0.3">
      <c r="B44" s="34"/>
      <c r="C44" s="42"/>
      <c r="D44" s="42"/>
      <c r="E44" s="42" t="s">
        <v>13</v>
      </c>
      <c r="F44" s="41"/>
      <c r="G44" s="35"/>
    </row>
    <row r="45" spans="2:12" x14ac:dyDescent="0.3">
      <c r="B45" s="34"/>
      <c r="C45" s="42"/>
      <c r="D45" s="42"/>
      <c r="E45" s="42" t="s">
        <v>12</v>
      </c>
      <c r="F45" s="41"/>
      <c r="G45" s="35"/>
    </row>
    <row r="46" spans="2:12" x14ac:dyDescent="0.3">
      <c r="B46" s="34"/>
      <c r="C46" s="42"/>
      <c r="D46" s="42"/>
      <c r="E46" s="42" t="s">
        <v>1</v>
      </c>
      <c r="F46" s="41"/>
      <c r="G46" s="35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49">
        <f>+SUM(F20:F47)-SUM(G20:G47)</f>
        <v>0</v>
      </c>
    </row>
  </sheetData>
  <mergeCells count="9">
    <mergeCell ref="B48:F48"/>
    <mergeCell ref="I29:I32"/>
    <mergeCell ref="J29:J32"/>
    <mergeCell ref="B9:G9"/>
    <mergeCell ref="D10:G18"/>
    <mergeCell ref="B16:C16"/>
    <mergeCell ref="B17:C18"/>
    <mergeCell ref="I16:I19"/>
    <mergeCell ref="J16:J19"/>
  </mergeCells>
  <conditionalFormatting sqref="B48 E20:E47">
    <cfRule type="cellIs" dxfId="69" priority="1" operator="equal">
      <formula>"Ocio"</formula>
    </cfRule>
    <cfRule type="cellIs" dxfId="68" priority="2" operator="equal">
      <formula>"Inversion"</formula>
    </cfRule>
    <cfRule type="cellIs" dxfId="67" priority="3" operator="equal">
      <formula>"Ahorro"</formula>
    </cfRule>
    <cfRule type="cellIs" dxfId="66" priority="4" operator="equal">
      <formula>"Variables"</formula>
    </cfRule>
    <cfRule type="cellIs" dxfId="65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48AA6213-97CB-41AF-B198-ABE408F0765C}">
          <x14:formula1>
            <xm:f>Listas!$C$2:$C$6</xm:f>
          </x14:formula1>
          <xm:sqref>E20:E47</xm:sqref>
        </x14:dataValidation>
        <x14:dataValidation type="list" allowBlank="1" showInputMessage="1" showErrorMessage="1" xr:uid="{C9EBCD83-9DA2-4963-AAE6-D12131C67393}">
          <x14:formula1>
            <xm:f>Listas!$A$2:$A$9</xm:f>
          </x14:formula1>
          <xm:sqref>C20:C47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225B-2021-4846-8BB4-582408ADDC5D}">
  <dimension ref="A1:M48"/>
  <sheetViews>
    <sheetView showGridLines="0" topLeftCell="A14" zoomScale="80" zoomScaleNormal="80" workbookViewId="0">
      <selection activeCell="J35" sqref="J35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4.7265625" style="6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3" style="6" customWidth="1"/>
    <col min="11" max="11" width="10.54296875" style="6" bestFit="1" customWidth="1"/>
    <col min="12" max="12" width="16.453125" style="6" bestFit="1" customWidth="1"/>
    <col min="13" max="16384" width="8.7265625" style="6"/>
  </cols>
  <sheetData>
    <row r="1" spans="1:13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3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3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3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3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3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3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3" ht="14.5" thickBot="1" x14ac:dyDescent="0.35">
      <c r="B8" s="30"/>
      <c r="C8" s="31"/>
    </row>
    <row r="9" spans="1:13" ht="31" customHeight="1" thickBot="1" x14ac:dyDescent="0.75">
      <c r="B9" s="75" t="s">
        <v>24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3" ht="26.5" customHeight="1" thickBot="1" x14ac:dyDescent="0.35">
      <c r="B10" s="59" t="s">
        <v>0</v>
      </c>
      <c r="C10" s="67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3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  <c r="M11" s="36"/>
    </row>
    <row r="12" spans="1:13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3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3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3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3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/>
      <c r="E20" s="40" t="s">
        <v>11</v>
      </c>
      <c r="F20" s="41"/>
      <c r="G20" s="33"/>
    </row>
    <row r="21" spans="2:10" ht="14.5" thickBot="1" x14ac:dyDescent="0.35">
      <c r="B21" s="34"/>
      <c r="C21" s="42"/>
      <c r="D21" s="42"/>
      <c r="E21" s="42" t="s">
        <v>12</v>
      </c>
      <c r="F21" s="43"/>
      <c r="G21" s="35"/>
    </row>
    <row r="22" spans="2:10" ht="18.5" thickBot="1" x14ac:dyDescent="0.45">
      <c r="B22" s="34"/>
      <c r="C22" s="42"/>
      <c r="D22" s="42"/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4"/>
      <c r="C23" s="42"/>
      <c r="D23" s="42"/>
      <c r="E23" s="42" t="s">
        <v>13</v>
      </c>
      <c r="F23" s="41"/>
      <c r="G23" s="35"/>
      <c r="I23" s="32" t="str">
        <f>+ABRIL!I23</f>
        <v>Trii</v>
      </c>
      <c r="J23" s="33"/>
    </row>
    <row r="24" spans="2:10" x14ac:dyDescent="0.3">
      <c r="B24" s="34"/>
      <c r="C24" s="42"/>
      <c r="D24" s="42"/>
      <c r="E24" s="42" t="s">
        <v>1</v>
      </c>
      <c r="F24" s="41"/>
      <c r="G24" s="35"/>
      <c r="I24" s="32" t="str">
        <f>+ABRIL!I24</f>
        <v>Uala</v>
      </c>
      <c r="J24" s="35"/>
    </row>
    <row r="25" spans="2:10" x14ac:dyDescent="0.3">
      <c r="B25" s="34"/>
      <c r="C25" s="42"/>
      <c r="D25" s="42"/>
      <c r="E25" s="42" t="s">
        <v>11</v>
      </c>
      <c r="F25" s="41"/>
      <c r="G25" s="35"/>
      <c r="I25" s="32" t="str">
        <f>+ABRIL!I25</f>
        <v>Nubank</v>
      </c>
      <c r="J25" s="35"/>
    </row>
    <row r="26" spans="2:10" x14ac:dyDescent="0.3">
      <c r="B26" s="34"/>
      <c r="C26" s="42"/>
      <c r="D26" s="42"/>
      <c r="E26" s="42" t="s">
        <v>13</v>
      </c>
      <c r="F26" s="41"/>
      <c r="G26" s="35"/>
      <c r="I26" s="32">
        <f>+ABRIL!I26</f>
        <v>0</v>
      </c>
      <c r="J26" s="35"/>
    </row>
    <row r="27" spans="2:10" x14ac:dyDescent="0.3">
      <c r="B27" s="34"/>
      <c r="C27" s="42"/>
      <c r="D27" s="42"/>
      <c r="E27" s="42" t="s">
        <v>12</v>
      </c>
      <c r="F27" s="41"/>
      <c r="G27" s="35"/>
      <c r="I27" s="32">
        <f>+ABRIL!I27</f>
        <v>0</v>
      </c>
      <c r="J27" s="35"/>
    </row>
    <row r="28" spans="2:10" ht="14.5" thickBot="1" x14ac:dyDescent="0.35">
      <c r="B28" s="34"/>
      <c r="C28" s="42"/>
      <c r="D28" s="42"/>
      <c r="E28" s="42" t="s">
        <v>1</v>
      </c>
      <c r="F28" s="41"/>
      <c r="G28" s="35"/>
      <c r="I28" s="32">
        <f>+ABRIL!I28</f>
        <v>0</v>
      </c>
      <c r="J28" s="38"/>
    </row>
    <row r="29" spans="2:10" x14ac:dyDescent="0.3">
      <c r="B29" s="34"/>
      <c r="C29" s="42"/>
      <c r="D29" s="42"/>
      <c r="E29" s="42" t="s">
        <v>2</v>
      </c>
      <c r="F29" s="41"/>
      <c r="G29" s="35"/>
      <c r="I29" s="60" t="s">
        <v>51</v>
      </c>
      <c r="J29" s="63">
        <f>+SUM(J23:J28)</f>
        <v>0</v>
      </c>
    </row>
    <row r="30" spans="2:10" x14ac:dyDescent="0.3">
      <c r="B30" s="34"/>
      <c r="C30" s="42"/>
      <c r="D30" s="42"/>
      <c r="E30" s="42" t="s">
        <v>1</v>
      </c>
      <c r="F30" s="41"/>
      <c r="G30" s="35"/>
      <c r="I30" s="61"/>
      <c r="J30" s="64"/>
    </row>
    <row r="31" spans="2:10" x14ac:dyDescent="0.3">
      <c r="B31" s="34"/>
      <c r="C31" s="42"/>
      <c r="D31" s="42"/>
      <c r="E31" s="42" t="s">
        <v>11</v>
      </c>
      <c r="F31" s="41"/>
      <c r="G31" s="35"/>
      <c r="I31" s="61"/>
      <c r="J31" s="64"/>
    </row>
    <row r="32" spans="2:10" ht="14.5" thickBot="1" x14ac:dyDescent="0.35">
      <c r="B32" s="34"/>
      <c r="C32" s="42"/>
      <c r="D32" s="42"/>
      <c r="E32" s="42" t="s">
        <v>13</v>
      </c>
      <c r="F32" s="41"/>
      <c r="G32" s="35"/>
      <c r="I32" s="62"/>
      <c r="J32" s="65"/>
    </row>
    <row r="33" spans="2:12" ht="14.5" thickBot="1" x14ac:dyDescent="0.35">
      <c r="B33" s="34"/>
      <c r="C33" s="42"/>
      <c r="D33" s="42"/>
      <c r="E33" s="42" t="s">
        <v>12</v>
      </c>
      <c r="F33" s="41"/>
      <c r="G33" s="35"/>
    </row>
    <row r="34" spans="2:12" ht="18.5" thickBot="1" x14ac:dyDescent="0.45">
      <c r="B34" s="34"/>
      <c r="C34" s="42"/>
      <c r="D34" s="42"/>
      <c r="E34" s="42" t="s">
        <v>1</v>
      </c>
      <c r="F34" s="41"/>
      <c r="G34" s="35"/>
      <c r="I34" s="9" t="s">
        <v>53</v>
      </c>
      <c r="J34" s="9" t="s">
        <v>54</v>
      </c>
      <c r="K34" s="9" t="s">
        <v>55</v>
      </c>
      <c r="L34" s="9" t="s">
        <v>56</v>
      </c>
    </row>
    <row r="35" spans="2:12" x14ac:dyDescent="0.3">
      <c r="B35" s="34"/>
      <c r="C35" s="42"/>
      <c r="D35" s="42"/>
      <c r="E35" s="42" t="s">
        <v>2</v>
      </c>
      <c r="F35" s="41"/>
      <c r="G35" s="35"/>
      <c r="I35" s="32">
        <f>+ABRIL!I35</f>
        <v>0</v>
      </c>
      <c r="J35" s="45">
        <f>+ABRIL!L35</f>
        <v>0</v>
      </c>
      <c r="K35" s="33"/>
      <c r="L35" s="51">
        <f>+J35+K35</f>
        <v>0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2">
        <f>+ABRIL!I36</f>
        <v>0</v>
      </c>
      <c r="J36" s="45">
        <f>+ABRIL!L36</f>
        <v>0</v>
      </c>
      <c r="K36" s="33"/>
      <c r="L36" s="51">
        <f t="shared" ref="L36:L42" si="0">+J36+K36</f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2">
        <f>+ABRIL!I37</f>
        <v>0</v>
      </c>
      <c r="J37" s="45">
        <f>+ABRIL!L37</f>
        <v>0</v>
      </c>
      <c r="K37" s="33"/>
      <c r="L37" s="51">
        <f t="shared" si="0"/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2">
        <f>+ABRIL!I38</f>
        <v>0</v>
      </c>
      <c r="J38" s="45">
        <f>+ABRIL!L38</f>
        <v>0</v>
      </c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2">
        <f>+ABRIL!I39</f>
        <v>0</v>
      </c>
      <c r="J39" s="45">
        <f>+ABRIL!L39</f>
        <v>0</v>
      </c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2">
        <f>+ABRIL!I40</f>
        <v>0</v>
      </c>
      <c r="J40" s="45">
        <f>+ABRIL!L40</f>
        <v>0</v>
      </c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2">
        <f>+ABRIL!I41</f>
        <v>0</v>
      </c>
      <c r="J41" s="45">
        <f>+ABRIL!L41</f>
        <v>0</v>
      </c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2">
        <f>+ABRIL!I42</f>
        <v>0</v>
      </c>
      <c r="J42" s="45">
        <f>+ABRIL!L42</f>
        <v>0</v>
      </c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44" t="s">
        <v>51</v>
      </c>
      <c r="J43" s="35">
        <f>SUM(J35:J42)</f>
        <v>0</v>
      </c>
      <c r="K43" s="35">
        <f>SUM(K35:K42)</f>
        <v>0</v>
      </c>
      <c r="L43" s="51">
        <f>SUM(L35:L42)</f>
        <v>0</v>
      </c>
    </row>
    <row r="44" spans="2:12" x14ac:dyDescent="0.3">
      <c r="B44" s="34"/>
      <c r="C44" s="42"/>
      <c r="D44" s="42"/>
      <c r="E44" s="42" t="s">
        <v>13</v>
      </c>
      <c r="F44" s="41"/>
      <c r="G44" s="35"/>
    </row>
    <row r="45" spans="2:12" x14ac:dyDescent="0.3">
      <c r="B45" s="34"/>
      <c r="C45" s="42"/>
      <c r="D45" s="42"/>
      <c r="E45" s="42" t="s">
        <v>12</v>
      </c>
      <c r="F45" s="41"/>
      <c r="G45" s="35"/>
    </row>
    <row r="46" spans="2:12" x14ac:dyDescent="0.3">
      <c r="B46" s="34"/>
      <c r="C46" s="42"/>
      <c r="D46" s="42"/>
      <c r="E46" s="42" t="s">
        <v>1</v>
      </c>
      <c r="F46" s="41"/>
      <c r="G46" s="35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50">
        <f>+SUM(F20:F47)-SUM(G20:G47)</f>
        <v>0</v>
      </c>
    </row>
  </sheetData>
  <mergeCells count="7">
    <mergeCell ref="I16:I19"/>
    <mergeCell ref="J16:J19"/>
    <mergeCell ref="B48:F48"/>
    <mergeCell ref="B9:G9"/>
    <mergeCell ref="D10:G18"/>
    <mergeCell ref="B16:C16"/>
    <mergeCell ref="B17:C18"/>
  </mergeCells>
  <conditionalFormatting sqref="B48 E20:E47">
    <cfRule type="cellIs" dxfId="64" priority="1" operator="equal">
      <formula>"Ocio"</formula>
    </cfRule>
    <cfRule type="cellIs" dxfId="63" priority="2" operator="equal">
      <formula>"Inversion"</formula>
    </cfRule>
    <cfRule type="cellIs" dxfId="62" priority="3" operator="equal">
      <formula>"Ahorro"</formula>
    </cfRule>
    <cfRule type="cellIs" dxfId="61" priority="4" operator="equal">
      <formula>"Variables"</formula>
    </cfRule>
    <cfRule type="cellIs" dxfId="60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2B33C16-993A-445B-8754-94AFA5F57AC7}">
          <x14:formula1>
            <xm:f>Listas!$A$2:$A$9</xm:f>
          </x14:formula1>
          <xm:sqref>C20:C47</xm:sqref>
        </x14:dataValidation>
        <x14:dataValidation type="list" allowBlank="1" showInputMessage="1" showErrorMessage="1" xr:uid="{27515D51-88BE-48E8-BDDD-B7D36182698D}">
          <x14:formula1>
            <xm:f>Listas!$C$2:$C$6</xm:f>
          </x14:formula1>
          <xm:sqref>E20:E47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DAE2-9537-46CF-93BD-7954A05BDDA2}">
  <dimension ref="A1:M48"/>
  <sheetViews>
    <sheetView showGridLines="0" topLeftCell="A14" zoomScale="80" zoomScaleNormal="80" workbookViewId="0">
      <selection activeCell="J42" sqref="J42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4.7265625" style="6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3" style="6" customWidth="1"/>
    <col min="11" max="11" width="10.54296875" style="6" bestFit="1" customWidth="1"/>
    <col min="12" max="12" width="16.453125" style="6" bestFit="1" customWidth="1"/>
    <col min="13" max="16384" width="8.7265625" style="6"/>
  </cols>
  <sheetData>
    <row r="1" spans="1:13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3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3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3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3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3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3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3" ht="14.5" thickBot="1" x14ac:dyDescent="0.35">
      <c r="B8" s="30"/>
      <c r="C8" s="31"/>
    </row>
    <row r="9" spans="1:13" ht="31" customHeight="1" thickBot="1" x14ac:dyDescent="0.75">
      <c r="B9" s="75" t="s">
        <v>25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3" ht="26.5" customHeight="1" thickBot="1" x14ac:dyDescent="0.35">
      <c r="B10" s="59" t="s">
        <v>0</v>
      </c>
      <c r="C10" s="67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3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  <c r="M11" s="36"/>
    </row>
    <row r="12" spans="1:13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3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3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3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3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/>
      <c r="E20" s="40" t="s">
        <v>11</v>
      </c>
      <c r="F20" s="41"/>
      <c r="G20" s="33"/>
    </row>
    <row r="21" spans="2:10" ht="14.5" thickBot="1" x14ac:dyDescent="0.35">
      <c r="B21" s="34"/>
      <c r="C21" s="42"/>
      <c r="D21" s="42"/>
      <c r="E21" s="42" t="s">
        <v>12</v>
      </c>
      <c r="F21" s="43"/>
      <c r="G21" s="35"/>
    </row>
    <row r="22" spans="2:10" ht="18.5" thickBot="1" x14ac:dyDescent="0.45">
      <c r="B22" s="34"/>
      <c r="C22" s="42"/>
      <c r="D22" s="42"/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4"/>
      <c r="C23" s="42"/>
      <c r="D23" s="42"/>
      <c r="E23" s="42" t="s">
        <v>13</v>
      </c>
      <c r="F23" s="41"/>
      <c r="G23" s="35"/>
      <c r="I23" s="32" t="str">
        <f>+MAYO!I23</f>
        <v>Trii</v>
      </c>
      <c r="J23" s="33"/>
    </row>
    <row r="24" spans="2:10" x14ac:dyDescent="0.3">
      <c r="B24" s="34"/>
      <c r="C24" s="42"/>
      <c r="D24" s="42"/>
      <c r="E24" s="42" t="s">
        <v>1</v>
      </c>
      <c r="F24" s="41"/>
      <c r="G24" s="35"/>
      <c r="I24" s="32" t="str">
        <f>+MAYO!I24</f>
        <v>Uala</v>
      </c>
      <c r="J24" s="35"/>
    </row>
    <row r="25" spans="2:10" x14ac:dyDescent="0.3">
      <c r="B25" s="34"/>
      <c r="C25" s="42"/>
      <c r="D25" s="42"/>
      <c r="E25" s="42" t="s">
        <v>11</v>
      </c>
      <c r="F25" s="41"/>
      <c r="G25" s="35"/>
      <c r="I25" s="32" t="str">
        <f>+MAYO!I25</f>
        <v>Nubank</v>
      </c>
      <c r="J25" s="35"/>
    </row>
    <row r="26" spans="2:10" x14ac:dyDescent="0.3">
      <c r="B26" s="34"/>
      <c r="C26" s="42"/>
      <c r="D26" s="42"/>
      <c r="E26" s="42" t="s">
        <v>13</v>
      </c>
      <c r="F26" s="41"/>
      <c r="G26" s="35"/>
      <c r="I26" s="32">
        <f>+MAYO!I26</f>
        <v>0</v>
      </c>
      <c r="J26" s="35"/>
    </row>
    <row r="27" spans="2:10" x14ac:dyDescent="0.3">
      <c r="B27" s="34"/>
      <c r="C27" s="42"/>
      <c r="D27" s="42"/>
      <c r="E27" s="42" t="s">
        <v>12</v>
      </c>
      <c r="F27" s="41"/>
      <c r="G27" s="35"/>
      <c r="I27" s="32">
        <f>+MAYO!I27</f>
        <v>0</v>
      </c>
      <c r="J27" s="35"/>
    </row>
    <row r="28" spans="2:10" ht="14.5" thickBot="1" x14ac:dyDescent="0.35">
      <c r="B28" s="34"/>
      <c r="C28" s="42"/>
      <c r="D28" s="42"/>
      <c r="E28" s="42" t="s">
        <v>1</v>
      </c>
      <c r="F28" s="41"/>
      <c r="G28" s="35"/>
      <c r="I28" s="32">
        <f>+MAYO!I28</f>
        <v>0</v>
      </c>
      <c r="J28" s="38"/>
    </row>
    <row r="29" spans="2:10" x14ac:dyDescent="0.3">
      <c r="B29" s="34"/>
      <c r="C29" s="42"/>
      <c r="D29" s="42"/>
      <c r="E29" s="42" t="s">
        <v>2</v>
      </c>
      <c r="F29" s="41"/>
      <c r="G29" s="35"/>
      <c r="I29" s="60" t="s">
        <v>51</v>
      </c>
      <c r="J29" s="63">
        <f>+SUM(J23:J28)</f>
        <v>0</v>
      </c>
    </row>
    <row r="30" spans="2:10" x14ac:dyDescent="0.3">
      <c r="B30" s="34"/>
      <c r="C30" s="42"/>
      <c r="D30" s="42"/>
      <c r="E30" s="42" t="s">
        <v>1</v>
      </c>
      <c r="F30" s="41"/>
      <c r="G30" s="35"/>
      <c r="I30" s="61"/>
      <c r="J30" s="64"/>
    </row>
    <row r="31" spans="2:10" x14ac:dyDescent="0.3">
      <c r="B31" s="34"/>
      <c r="C31" s="42"/>
      <c r="D31" s="42"/>
      <c r="E31" s="42" t="s">
        <v>11</v>
      </c>
      <c r="F31" s="41"/>
      <c r="G31" s="35"/>
      <c r="I31" s="61"/>
      <c r="J31" s="64"/>
    </row>
    <row r="32" spans="2:10" ht="14.5" thickBot="1" x14ac:dyDescent="0.35">
      <c r="B32" s="34"/>
      <c r="C32" s="42"/>
      <c r="D32" s="42"/>
      <c r="E32" s="42" t="s">
        <v>13</v>
      </c>
      <c r="F32" s="41"/>
      <c r="G32" s="35"/>
      <c r="I32" s="62"/>
      <c r="J32" s="65"/>
    </row>
    <row r="33" spans="2:12" ht="14.5" thickBot="1" x14ac:dyDescent="0.35">
      <c r="B33" s="34"/>
      <c r="C33" s="42"/>
      <c r="D33" s="42"/>
      <c r="E33" s="42" t="s">
        <v>12</v>
      </c>
      <c r="F33" s="41"/>
      <c r="G33" s="35"/>
    </row>
    <row r="34" spans="2:12" ht="18.5" thickBot="1" x14ac:dyDescent="0.45">
      <c r="B34" s="34"/>
      <c r="C34" s="42"/>
      <c r="D34" s="42"/>
      <c r="E34" s="42" t="s">
        <v>1</v>
      </c>
      <c r="F34" s="41"/>
      <c r="G34" s="35"/>
      <c r="I34" s="9" t="s">
        <v>53</v>
      </c>
      <c r="J34" s="9" t="s">
        <v>54</v>
      </c>
      <c r="K34" s="9" t="s">
        <v>55</v>
      </c>
      <c r="L34" s="9" t="s">
        <v>56</v>
      </c>
    </row>
    <row r="35" spans="2:12" x14ac:dyDescent="0.3">
      <c r="B35" s="34"/>
      <c r="C35" s="42"/>
      <c r="D35" s="42"/>
      <c r="E35" s="42" t="s">
        <v>2</v>
      </c>
      <c r="F35" s="41"/>
      <c r="G35" s="35"/>
      <c r="I35" s="32">
        <f>+MAYO!I35</f>
        <v>0</v>
      </c>
      <c r="J35" s="45">
        <f>+MAYO!L35</f>
        <v>0</v>
      </c>
      <c r="K35" s="33"/>
      <c r="L35" s="51">
        <f>+J35+K35</f>
        <v>0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2">
        <f>+MAYO!I36</f>
        <v>0</v>
      </c>
      <c r="J36" s="45">
        <f>+MAYO!L36</f>
        <v>0</v>
      </c>
      <c r="K36" s="33"/>
      <c r="L36" s="51">
        <f t="shared" ref="L36:L42" si="0">+J36+K36</f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2">
        <f>+MAYO!I37</f>
        <v>0</v>
      </c>
      <c r="J37" s="45">
        <f>+MAYO!L37</f>
        <v>0</v>
      </c>
      <c r="K37" s="33"/>
      <c r="L37" s="51">
        <f t="shared" si="0"/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2">
        <f>+MAYO!I38</f>
        <v>0</v>
      </c>
      <c r="J38" s="45">
        <f>+MAYO!L38</f>
        <v>0</v>
      </c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2">
        <f>+MAYO!I39</f>
        <v>0</v>
      </c>
      <c r="J39" s="45">
        <f>+MAYO!L39</f>
        <v>0</v>
      </c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2">
        <f>+MAYO!I40</f>
        <v>0</v>
      </c>
      <c r="J40" s="45">
        <f>+MAYO!L40</f>
        <v>0</v>
      </c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2">
        <f>+MAYO!I41</f>
        <v>0</v>
      </c>
      <c r="J41" s="45">
        <f>+MAYO!L41</f>
        <v>0</v>
      </c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2">
        <f>+MAYO!I42</f>
        <v>0</v>
      </c>
      <c r="J42" s="45">
        <f>+MAYO!L42</f>
        <v>0</v>
      </c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44" t="s">
        <v>51</v>
      </c>
      <c r="J43" s="45">
        <f>SUM(J35:J42)</f>
        <v>0</v>
      </c>
      <c r="K43" s="35">
        <f>SUM(K35:K42)</f>
        <v>0</v>
      </c>
      <c r="L43" s="51">
        <f>SUM(L35:L42)</f>
        <v>0</v>
      </c>
    </row>
    <row r="44" spans="2:12" x14ac:dyDescent="0.3">
      <c r="B44" s="34"/>
      <c r="C44" s="42"/>
      <c r="D44" s="42"/>
      <c r="E44" s="42" t="s">
        <v>13</v>
      </c>
      <c r="F44" s="41"/>
      <c r="G44" s="35"/>
    </row>
    <row r="45" spans="2:12" x14ac:dyDescent="0.3">
      <c r="B45" s="34"/>
      <c r="C45" s="42"/>
      <c r="D45" s="42"/>
      <c r="E45" s="42" t="s">
        <v>12</v>
      </c>
      <c r="F45" s="41"/>
      <c r="G45" s="35"/>
    </row>
    <row r="46" spans="2:12" x14ac:dyDescent="0.3">
      <c r="B46" s="34"/>
      <c r="C46" s="42"/>
      <c r="D46" s="42"/>
      <c r="E46" s="42" t="s">
        <v>1</v>
      </c>
      <c r="F46" s="41"/>
      <c r="G46" s="35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50">
        <f>+SUM(F20:F47)-SUM(G20:G47)</f>
        <v>0</v>
      </c>
    </row>
  </sheetData>
  <mergeCells count="7">
    <mergeCell ref="I16:I19"/>
    <mergeCell ref="J16:J19"/>
    <mergeCell ref="B48:F48"/>
    <mergeCell ref="B9:G9"/>
    <mergeCell ref="D10:G18"/>
    <mergeCell ref="B16:C16"/>
    <mergeCell ref="B17:C18"/>
  </mergeCells>
  <conditionalFormatting sqref="B48 E20:E47">
    <cfRule type="cellIs" dxfId="59" priority="1" operator="equal">
      <formula>"Ocio"</formula>
    </cfRule>
    <cfRule type="cellIs" dxfId="58" priority="2" operator="equal">
      <formula>"Inversion"</formula>
    </cfRule>
    <cfRule type="cellIs" dxfId="57" priority="3" operator="equal">
      <formula>"Ahorro"</formula>
    </cfRule>
    <cfRule type="cellIs" dxfId="56" priority="4" operator="equal">
      <formula>"Variables"</formula>
    </cfRule>
    <cfRule type="cellIs" dxfId="55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051781-0028-451A-A203-5A3F365D9CE6}">
          <x14:formula1>
            <xm:f>Listas!$C$2:$C$6</xm:f>
          </x14:formula1>
          <xm:sqref>E20:E47</xm:sqref>
        </x14:dataValidation>
        <x14:dataValidation type="list" allowBlank="1" showInputMessage="1" showErrorMessage="1" xr:uid="{03581794-8A70-4B77-B8ED-9F5A7860AF7B}">
          <x14:formula1>
            <xm:f>Listas!$A$2:$A$9</xm:f>
          </x14:formula1>
          <xm:sqref>C20:C47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E60C-3041-45A8-81E8-716E9A3C2EFB}">
  <dimension ref="A1:M48"/>
  <sheetViews>
    <sheetView showGridLines="0" topLeftCell="A12" zoomScale="80" zoomScaleNormal="80" workbookViewId="0">
      <selection activeCell="I23" sqref="I23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4.7265625" style="6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3" style="6" customWidth="1"/>
    <col min="11" max="11" width="10.54296875" style="6" bestFit="1" customWidth="1"/>
    <col min="12" max="12" width="16.453125" style="6" bestFit="1" customWidth="1"/>
    <col min="13" max="16384" width="8.7265625" style="6"/>
  </cols>
  <sheetData>
    <row r="1" spans="1:13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3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3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3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3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3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3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3" ht="14.5" thickBot="1" x14ac:dyDescent="0.35">
      <c r="B8" s="30"/>
      <c r="C8" s="31"/>
    </row>
    <row r="9" spans="1:13" ht="31" customHeight="1" thickBot="1" x14ac:dyDescent="0.75">
      <c r="B9" s="75" t="s">
        <v>26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3" ht="26.5" customHeight="1" thickBot="1" x14ac:dyDescent="0.35">
      <c r="B10" s="59" t="s">
        <v>0</v>
      </c>
      <c r="C10" s="66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3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  <c r="M11" s="36"/>
    </row>
    <row r="12" spans="1:13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3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3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3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3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 t="s">
        <v>61</v>
      </c>
      <c r="E20" s="40" t="s">
        <v>11</v>
      </c>
      <c r="F20" s="41"/>
      <c r="G20" s="33"/>
    </row>
    <row r="21" spans="2:10" ht="14.5" thickBot="1" x14ac:dyDescent="0.35">
      <c r="B21" s="39"/>
      <c r="C21" s="42"/>
      <c r="D21" s="42" t="s">
        <v>68</v>
      </c>
      <c r="E21" s="42" t="s">
        <v>11</v>
      </c>
      <c r="F21" s="43"/>
      <c r="G21" s="35"/>
    </row>
    <row r="22" spans="2:10" ht="18.5" thickBot="1" x14ac:dyDescent="0.45">
      <c r="B22" s="39"/>
      <c r="C22" s="42"/>
      <c r="D22" s="42" t="s">
        <v>72</v>
      </c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9"/>
      <c r="C23" s="42"/>
      <c r="D23" s="42" t="s">
        <v>76</v>
      </c>
      <c r="E23" s="42" t="s">
        <v>11</v>
      </c>
      <c r="F23" s="41"/>
      <c r="G23" s="35"/>
      <c r="I23" s="32" t="str">
        <f>+JUNIO!I23</f>
        <v>Trii</v>
      </c>
      <c r="J23" s="33"/>
    </row>
    <row r="24" spans="2:10" x14ac:dyDescent="0.3">
      <c r="B24" s="39"/>
      <c r="C24" s="42"/>
      <c r="D24" s="42" t="s">
        <v>65</v>
      </c>
      <c r="E24" s="42" t="s">
        <v>11</v>
      </c>
      <c r="F24" s="41"/>
      <c r="G24" s="35"/>
      <c r="I24" s="32" t="str">
        <f>+JUNIO!I24</f>
        <v>Uala</v>
      </c>
      <c r="J24" s="35"/>
    </row>
    <row r="25" spans="2:10" x14ac:dyDescent="0.3">
      <c r="B25" s="39"/>
      <c r="C25" s="42"/>
      <c r="D25" s="42" t="s">
        <v>66</v>
      </c>
      <c r="E25" s="42" t="s">
        <v>11</v>
      </c>
      <c r="F25" s="41"/>
      <c r="G25" s="35"/>
      <c r="I25" s="32" t="str">
        <f>+JUNIO!I25</f>
        <v>Nubank</v>
      </c>
      <c r="J25" s="35"/>
    </row>
    <row r="26" spans="2:10" x14ac:dyDescent="0.3">
      <c r="B26" s="39"/>
      <c r="C26" s="42"/>
      <c r="D26" s="42" t="s">
        <v>67</v>
      </c>
      <c r="E26" s="42" t="s">
        <v>11</v>
      </c>
      <c r="F26" s="41"/>
      <c r="G26" s="35"/>
      <c r="I26" s="32">
        <f>+JUNIO!I26</f>
        <v>0</v>
      </c>
      <c r="J26" s="35"/>
    </row>
    <row r="27" spans="2:10" x14ac:dyDescent="0.3">
      <c r="B27" s="39"/>
      <c r="C27" s="42"/>
      <c r="D27" s="42" t="s">
        <v>70</v>
      </c>
      <c r="E27" s="42" t="s">
        <v>11</v>
      </c>
      <c r="F27" s="41"/>
      <c r="G27" s="35"/>
      <c r="I27" s="32">
        <f>+JUNIO!I27</f>
        <v>0</v>
      </c>
      <c r="J27" s="35"/>
    </row>
    <row r="28" spans="2:10" ht="14.5" thickBot="1" x14ac:dyDescent="0.35">
      <c r="B28" s="39"/>
      <c r="C28" s="42"/>
      <c r="D28" s="42" t="s">
        <v>71</v>
      </c>
      <c r="E28" s="42" t="s">
        <v>11</v>
      </c>
      <c r="F28" s="41"/>
      <c r="G28" s="35"/>
      <c r="I28" s="32">
        <f>+JUNIO!I28</f>
        <v>0</v>
      </c>
      <c r="J28" s="38"/>
    </row>
    <row r="29" spans="2:10" x14ac:dyDescent="0.3">
      <c r="B29" s="39"/>
      <c r="C29" s="42"/>
      <c r="D29" s="42" t="s">
        <v>69</v>
      </c>
      <c r="E29" s="42" t="s">
        <v>11</v>
      </c>
      <c r="F29" s="41"/>
      <c r="G29" s="35"/>
      <c r="I29" s="69" t="s">
        <v>51</v>
      </c>
      <c r="J29" s="72">
        <f>+SUM(J23:J28)</f>
        <v>0</v>
      </c>
    </row>
    <row r="30" spans="2:10" x14ac:dyDescent="0.3">
      <c r="B30" s="39"/>
      <c r="C30" s="42"/>
      <c r="D30" s="42" t="s">
        <v>73</v>
      </c>
      <c r="E30" s="42" t="s">
        <v>11</v>
      </c>
      <c r="F30" s="41"/>
      <c r="G30" s="35"/>
      <c r="I30" s="70"/>
      <c r="J30" s="73"/>
    </row>
    <row r="31" spans="2:10" x14ac:dyDescent="0.3">
      <c r="B31" s="39"/>
      <c r="C31" s="42"/>
      <c r="D31" s="42" t="s">
        <v>74</v>
      </c>
      <c r="E31" s="42" t="s">
        <v>11</v>
      </c>
      <c r="F31" s="41"/>
      <c r="G31" s="35"/>
      <c r="I31" s="70"/>
      <c r="J31" s="73"/>
    </row>
    <row r="32" spans="2:10" ht="14.5" thickBot="1" x14ac:dyDescent="0.35">
      <c r="B32" s="39"/>
      <c r="C32" s="42"/>
      <c r="D32" s="42" t="s">
        <v>75</v>
      </c>
      <c r="E32" s="42" t="s">
        <v>11</v>
      </c>
      <c r="F32" s="41"/>
      <c r="G32" s="35"/>
      <c r="I32" s="71"/>
      <c r="J32" s="74"/>
    </row>
    <row r="33" spans="2:12" ht="14.5" thickBot="1" x14ac:dyDescent="0.35">
      <c r="B33" s="34"/>
      <c r="C33" s="42"/>
      <c r="D33" s="42" t="s">
        <v>78</v>
      </c>
      <c r="E33" s="42" t="s">
        <v>2</v>
      </c>
      <c r="F33" s="41"/>
      <c r="G33" s="35"/>
    </row>
    <row r="34" spans="2:12" ht="18.5" thickBot="1" x14ac:dyDescent="0.45">
      <c r="B34" s="34"/>
      <c r="C34" s="42"/>
      <c r="D34" s="42"/>
      <c r="E34" s="42" t="s">
        <v>1</v>
      </c>
      <c r="F34" s="41"/>
      <c r="G34" s="35"/>
      <c r="I34" s="9" t="s">
        <v>53</v>
      </c>
      <c r="J34" s="9" t="s">
        <v>54</v>
      </c>
      <c r="K34" s="9" t="s">
        <v>55</v>
      </c>
      <c r="L34" s="9" t="s">
        <v>56</v>
      </c>
    </row>
    <row r="35" spans="2:12" x14ac:dyDescent="0.3">
      <c r="B35" s="34"/>
      <c r="C35" s="42"/>
      <c r="D35" s="42"/>
      <c r="E35" s="42" t="s">
        <v>2</v>
      </c>
      <c r="F35" s="41"/>
      <c r="G35" s="35"/>
      <c r="I35" s="32">
        <f>+JUNIO!I35</f>
        <v>0</v>
      </c>
      <c r="J35" s="45">
        <f>+JUNIO!J35</f>
        <v>0</v>
      </c>
      <c r="K35" s="33"/>
      <c r="L35" s="51">
        <f t="shared" ref="L35:L42" si="0">+J35+K35</f>
        <v>0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2">
        <f>+JUNIO!I36</f>
        <v>0</v>
      </c>
      <c r="J36" s="45">
        <f>+JUNIO!J36</f>
        <v>0</v>
      </c>
      <c r="K36" s="33"/>
      <c r="L36" s="51">
        <f t="shared" si="0"/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2">
        <f>+JUNIO!I37</f>
        <v>0</v>
      </c>
      <c r="J37" s="45">
        <f>+JUNIO!J37</f>
        <v>0</v>
      </c>
      <c r="K37" s="33"/>
      <c r="L37" s="51">
        <f t="shared" si="0"/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2">
        <f>+JUNIO!I38</f>
        <v>0</v>
      </c>
      <c r="J38" s="45">
        <f>+JUNIO!J38</f>
        <v>0</v>
      </c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2">
        <f>+JUNIO!I39</f>
        <v>0</v>
      </c>
      <c r="J39" s="45">
        <f>+JUNIO!J39</f>
        <v>0</v>
      </c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2">
        <f>+JUNIO!I40</f>
        <v>0</v>
      </c>
      <c r="J40" s="45">
        <f>+JUNIO!J40</f>
        <v>0</v>
      </c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2">
        <f>+JUNIO!I41</f>
        <v>0</v>
      </c>
      <c r="J41" s="45">
        <f>+JUNIO!J41</f>
        <v>0</v>
      </c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2">
        <f>+JUNIO!I42</f>
        <v>0</v>
      </c>
      <c r="J42" s="45">
        <f>+JUNIO!J42</f>
        <v>0</v>
      </c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44" t="s">
        <v>51</v>
      </c>
      <c r="J43" s="45">
        <f>SUM(J35:J42)</f>
        <v>0</v>
      </c>
      <c r="K43" s="35">
        <f>SUM(K35:K42)</f>
        <v>0</v>
      </c>
      <c r="L43" s="51">
        <f>SUM(L35:L42)</f>
        <v>0</v>
      </c>
    </row>
    <row r="44" spans="2:12" ht="14.5" thickBot="1" x14ac:dyDescent="0.35">
      <c r="B44" s="34"/>
      <c r="C44" s="42"/>
      <c r="D44" s="42"/>
      <c r="E44" s="42" t="s">
        <v>13</v>
      </c>
      <c r="F44" s="41"/>
      <c r="G44" s="35"/>
    </row>
    <row r="45" spans="2:12" ht="18.5" thickBot="1" x14ac:dyDescent="0.45">
      <c r="B45" s="34"/>
      <c r="C45" s="42"/>
      <c r="D45" s="42"/>
      <c r="E45" s="42" t="s">
        <v>12</v>
      </c>
      <c r="F45" s="41"/>
      <c r="G45" s="35"/>
      <c r="I45" s="9" t="s">
        <v>77</v>
      </c>
      <c r="J45" s="68">
        <f>+C10-B17</f>
        <v>5000000</v>
      </c>
    </row>
    <row r="46" spans="2:12" x14ac:dyDescent="0.3">
      <c r="B46" s="34"/>
      <c r="C46" s="42"/>
      <c r="D46" s="42"/>
      <c r="E46" s="42" t="s">
        <v>1</v>
      </c>
      <c r="F46" s="41"/>
      <c r="G46" s="35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48">
        <f>+SUM(F20:F47)-SUM(G20:G47)</f>
        <v>0</v>
      </c>
    </row>
  </sheetData>
  <mergeCells count="9">
    <mergeCell ref="B48:F48"/>
    <mergeCell ref="I29:I32"/>
    <mergeCell ref="J29:J32"/>
    <mergeCell ref="B9:G9"/>
    <mergeCell ref="D10:G18"/>
    <mergeCell ref="B16:C16"/>
    <mergeCell ref="B17:C18"/>
    <mergeCell ref="I16:I19"/>
    <mergeCell ref="J16:J19"/>
  </mergeCells>
  <conditionalFormatting sqref="B48 E20:E47">
    <cfRule type="cellIs" dxfId="54" priority="1" operator="equal">
      <formula>"Ocio"</formula>
    </cfRule>
    <cfRule type="cellIs" dxfId="53" priority="2" operator="equal">
      <formula>"Inversion"</formula>
    </cfRule>
    <cfRule type="cellIs" dxfId="52" priority="3" operator="equal">
      <formula>"Ahorro"</formula>
    </cfRule>
    <cfRule type="cellIs" dxfId="51" priority="4" operator="equal">
      <formula>"Variables"</formula>
    </cfRule>
    <cfRule type="cellIs" dxfId="50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746D95A-5B31-4AA2-8AA6-459271FEFFDC}">
          <x14:formula1>
            <xm:f>Listas!$A$2:$A$9</xm:f>
          </x14:formula1>
          <xm:sqref>C20:C47</xm:sqref>
        </x14:dataValidation>
        <x14:dataValidation type="list" allowBlank="1" showInputMessage="1" showErrorMessage="1" xr:uid="{B541DB2B-9F45-4307-A266-5EB7CE47A508}">
          <x14:formula1>
            <xm:f>Listas!$C$2:$C$6</xm:f>
          </x14:formula1>
          <xm:sqref>E20:E47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C0F5-39A3-40FC-943A-790C2E792185}">
  <dimension ref="A1:M48"/>
  <sheetViews>
    <sheetView showGridLines="0" zoomScale="90" zoomScaleNormal="90" workbookViewId="0">
      <selection activeCell="K10" sqref="K10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4.7265625" style="6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3" style="6" customWidth="1"/>
    <col min="11" max="11" width="10.54296875" style="6" bestFit="1" customWidth="1"/>
    <col min="12" max="12" width="16.453125" style="6" bestFit="1" customWidth="1"/>
    <col min="13" max="16384" width="8.7265625" style="6"/>
  </cols>
  <sheetData>
    <row r="1" spans="1:13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3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3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3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3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3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3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3" ht="14.5" thickBot="1" x14ac:dyDescent="0.35">
      <c r="B8" s="30"/>
      <c r="C8" s="31"/>
    </row>
    <row r="9" spans="1:13" ht="31" customHeight="1" thickBot="1" x14ac:dyDescent="0.75">
      <c r="B9" s="75" t="s">
        <v>27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3" ht="26.5" customHeight="1" thickBot="1" x14ac:dyDescent="0.35">
      <c r="B10" s="59" t="s">
        <v>0</v>
      </c>
      <c r="C10" s="67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3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  <c r="M11" s="36"/>
    </row>
    <row r="12" spans="1:13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3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3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3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3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/>
      <c r="E20" s="40" t="s">
        <v>11</v>
      </c>
      <c r="F20" s="41"/>
      <c r="G20" s="33"/>
    </row>
    <row r="21" spans="2:10" ht="14.5" thickBot="1" x14ac:dyDescent="0.35">
      <c r="B21" s="34"/>
      <c r="C21" s="42"/>
      <c r="D21" s="42"/>
      <c r="E21" s="42" t="s">
        <v>11</v>
      </c>
      <c r="F21" s="43"/>
      <c r="G21" s="35"/>
    </row>
    <row r="22" spans="2:10" ht="18.5" thickBot="1" x14ac:dyDescent="0.45">
      <c r="B22" s="34"/>
      <c r="C22" s="42"/>
      <c r="D22" s="42"/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4"/>
      <c r="C23" s="42"/>
      <c r="D23" s="42"/>
      <c r="E23" s="42" t="s">
        <v>11</v>
      </c>
      <c r="F23" s="41"/>
      <c r="G23" s="35"/>
      <c r="I23" s="32" t="str">
        <f>+JULIO!I23</f>
        <v>Trii</v>
      </c>
      <c r="J23" s="33"/>
    </row>
    <row r="24" spans="2:10" x14ac:dyDescent="0.3">
      <c r="B24" s="34"/>
      <c r="C24" s="42"/>
      <c r="D24" s="42"/>
      <c r="E24" s="42" t="s">
        <v>11</v>
      </c>
      <c r="F24" s="41"/>
      <c r="G24" s="35"/>
      <c r="I24" s="32" t="str">
        <f>+JULIO!I24</f>
        <v>Uala</v>
      </c>
      <c r="J24" s="35"/>
    </row>
    <row r="25" spans="2:10" x14ac:dyDescent="0.3">
      <c r="B25" s="34"/>
      <c r="C25" s="42"/>
      <c r="D25" s="42"/>
      <c r="E25" s="42" t="s">
        <v>11</v>
      </c>
      <c r="F25" s="41"/>
      <c r="G25" s="35"/>
      <c r="I25" s="32" t="str">
        <f>+JULIO!I25</f>
        <v>Nubank</v>
      </c>
      <c r="J25" s="35"/>
    </row>
    <row r="26" spans="2:10" x14ac:dyDescent="0.3">
      <c r="B26" s="34"/>
      <c r="C26" s="42"/>
      <c r="D26" s="42"/>
      <c r="E26" s="42" t="s">
        <v>11</v>
      </c>
      <c r="F26" s="41"/>
      <c r="G26" s="35"/>
      <c r="I26" s="32">
        <f>+JULIO!I26</f>
        <v>0</v>
      </c>
      <c r="J26" s="35"/>
    </row>
    <row r="27" spans="2:10" x14ac:dyDescent="0.3">
      <c r="B27" s="34"/>
      <c r="C27" s="42"/>
      <c r="D27" s="42"/>
      <c r="E27" s="42" t="s">
        <v>11</v>
      </c>
      <c r="F27" s="41"/>
      <c r="G27" s="35"/>
      <c r="I27" s="32">
        <f>+JULIO!I27</f>
        <v>0</v>
      </c>
      <c r="J27" s="35"/>
    </row>
    <row r="28" spans="2:10" ht="14.5" thickBot="1" x14ac:dyDescent="0.35">
      <c r="B28" s="34"/>
      <c r="C28" s="42"/>
      <c r="D28" s="42"/>
      <c r="E28" s="42" t="s">
        <v>11</v>
      </c>
      <c r="F28" s="41"/>
      <c r="G28" s="35"/>
      <c r="I28" s="32">
        <f>+JULIO!I28</f>
        <v>0</v>
      </c>
      <c r="J28" s="38"/>
    </row>
    <row r="29" spans="2:10" x14ac:dyDescent="0.3">
      <c r="B29" s="34"/>
      <c r="C29" s="42"/>
      <c r="D29" s="42"/>
      <c r="E29" s="42" t="s">
        <v>11</v>
      </c>
      <c r="F29" s="41"/>
      <c r="G29" s="35"/>
      <c r="I29" s="69" t="s">
        <v>51</v>
      </c>
      <c r="J29" s="72">
        <f>+SUM(J23:J28)</f>
        <v>0</v>
      </c>
    </row>
    <row r="30" spans="2:10" x14ac:dyDescent="0.3">
      <c r="B30" s="34"/>
      <c r="C30" s="42"/>
      <c r="D30" s="42"/>
      <c r="E30" s="42" t="s">
        <v>11</v>
      </c>
      <c r="F30" s="41"/>
      <c r="G30" s="35"/>
      <c r="I30" s="70"/>
      <c r="J30" s="73"/>
    </row>
    <row r="31" spans="2:10" x14ac:dyDescent="0.3">
      <c r="B31" s="34"/>
      <c r="C31" s="42"/>
      <c r="D31" s="42"/>
      <c r="E31" s="42" t="s">
        <v>11</v>
      </c>
      <c r="F31" s="41"/>
      <c r="G31" s="35"/>
      <c r="I31" s="70"/>
      <c r="J31" s="73"/>
    </row>
    <row r="32" spans="2:10" ht="14.5" thickBot="1" x14ac:dyDescent="0.35">
      <c r="B32" s="34"/>
      <c r="C32" s="42"/>
      <c r="D32" s="42"/>
      <c r="E32" s="42" t="s">
        <v>11</v>
      </c>
      <c r="F32" s="41"/>
      <c r="G32" s="35"/>
      <c r="I32" s="71"/>
      <c r="J32" s="74"/>
    </row>
    <row r="33" spans="2:12" ht="14.5" thickBot="1" x14ac:dyDescent="0.35">
      <c r="B33" s="34"/>
      <c r="C33" s="42"/>
      <c r="D33" s="42"/>
      <c r="E33" s="42" t="s">
        <v>12</v>
      </c>
      <c r="F33" s="41"/>
      <c r="G33" s="35"/>
    </row>
    <row r="34" spans="2:12" ht="18.5" thickBot="1" x14ac:dyDescent="0.45">
      <c r="B34" s="34"/>
      <c r="C34" s="42"/>
      <c r="D34" s="42"/>
      <c r="E34" s="42" t="s">
        <v>1</v>
      </c>
      <c r="F34" s="41"/>
      <c r="G34" s="35"/>
      <c r="I34" s="9" t="s">
        <v>53</v>
      </c>
      <c r="J34" s="9" t="s">
        <v>54</v>
      </c>
      <c r="K34" s="9" t="s">
        <v>55</v>
      </c>
      <c r="L34" s="9" t="s">
        <v>56</v>
      </c>
    </row>
    <row r="35" spans="2:12" x14ac:dyDescent="0.3">
      <c r="B35" s="34"/>
      <c r="C35" s="42"/>
      <c r="D35" s="42"/>
      <c r="E35" s="42" t="s">
        <v>2</v>
      </c>
      <c r="F35" s="41"/>
      <c r="G35" s="35"/>
      <c r="I35" s="32">
        <f>+JULIO!I35</f>
        <v>0</v>
      </c>
      <c r="J35" s="45">
        <f>+JULIO!J35</f>
        <v>0</v>
      </c>
      <c r="K35" s="33"/>
      <c r="L35" s="51">
        <f>+J35+K35</f>
        <v>0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2">
        <f>+JULIO!I36</f>
        <v>0</v>
      </c>
      <c r="J36" s="45">
        <f>+JULIO!J36</f>
        <v>0</v>
      </c>
      <c r="K36" s="33"/>
      <c r="L36" s="51">
        <f t="shared" ref="L36:L42" si="0">+J36+K36</f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2">
        <f>+JULIO!I37</f>
        <v>0</v>
      </c>
      <c r="J37" s="45">
        <f>+JULIO!J37</f>
        <v>0</v>
      </c>
      <c r="K37" s="33"/>
      <c r="L37" s="51">
        <f t="shared" si="0"/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2">
        <f>+JULIO!I38</f>
        <v>0</v>
      </c>
      <c r="J38" s="45">
        <f>+JULIO!J38</f>
        <v>0</v>
      </c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2">
        <f>+JULIO!I39</f>
        <v>0</v>
      </c>
      <c r="J39" s="45">
        <f>+JULIO!J39</f>
        <v>0</v>
      </c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2">
        <f>+JULIO!I40</f>
        <v>0</v>
      </c>
      <c r="J40" s="45">
        <f>+JULIO!J40</f>
        <v>0</v>
      </c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2">
        <f>+JULIO!I41</f>
        <v>0</v>
      </c>
      <c r="J41" s="45">
        <f>+JULIO!J41</f>
        <v>0</v>
      </c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2">
        <f>+JULIO!I42</f>
        <v>0</v>
      </c>
      <c r="J42" s="45">
        <f>+JULIO!J42</f>
        <v>0</v>
      </c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44" t="s">
        <v>51</v>
      </c>
      <c r="J43" s="45">
        <f>SUM(J35:J42)</f>
        <v>0</v>
      </c>
      <c r="K43" s="35">
        <f>SUM(K35:K42)</f>
        <v>0</v>
      </c>
      <c r="L43" s="51">
        <f>SUM(L35:L42)</f>
        <v>0</v>
      </c>
    </row>
    <row r="44" spans="2:12" ht="14.5" thickBot="1" x14ac:dyDescent="0.35">
      <c r="B44" s="34"/>
      <c r="C44" s="42"/>
      <c r="D44" s="42"/>
      <c r="E44" s="42" t="s">
        <v>13</v>
      </c>
      <c r="F44" s="41"/>
      <c r="G44" s="35"/>
    </row>
    <row r="45" spans="2:12" ht="18.5" thickBot="1" x14ac:dyDescent="0.45">
      <c r="B45" s="34"/>
      <c r="C45" s="42"/>
      <c r="D45" s="42"/>
      <c r="E45" s="42" t="s">
        <v>12</v>
      </c>
      <c r="F45" s="41"/>
      <c r="G45" s="35"/>
      <c r="I45" s="9" t="s">
        <v>77</v>
      </c>
      <c r="J45" s="68">
        <f>+C10-B17</f>
        <v>5000000</v>
      </c>
    </row>
    <row r="46" spans="2:12" x14ac:dyDescent="0.3">
      <c r="B46" s="34"/>
      <c r="C46" s="42"/>
      <c r="D46" s="42"/>
      <c r="E46" s="42" t="s">
        <v>1</v>
      </c>
      <c r="F46" s="41"/>
      <c r="G46" s="35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48">
        <f>+SUM(F20:F47)-SUM(G20:G47)</f>
        <v>0</v>
      </c>
    </row>
  </sheetData>
  <mergeCells count="9">
    <mergeCell ref="B48:F48"/>
    <mergeCell ref="I29:I32"/>
    <mergeCell ref="J29:J32"/>
    <mergeCell ref="B9:G9"/>
    <mergeCell ref="D10:G18"/>
    <mergeCell ref="B16:C16"/>
    <mergeCell ref="B17:C18"/>
    <mergeCell ref="I16:I19"/>
    <mergeCell ref="J16:J19"/>
  </mergeCells>
  <conditionalFormatting sqref="E20:E47">
    <cfRule type="cellIs" dxfId="49" priority="11" operator="equal">
      <formula>"Ocio"</formula>
    </cfRule>
    <cfRule type="cellIs" dxfId="48" priority="12" operator="equal">
      <formula>"Inversion"</formula>
    </cfRule>
    <cfRule type="cellIs" dxfId="47" priority="13" operator="equal">
      <formula>"Ahorro"</formula>
    </cfRule>
    <cfRule type="cellIs" dxfId="46" priority="14" operator="equal">
      <formula>"Variables"</formula>
    </cfRule>
    <cfRule type="cellIs" dxfId="45" priority="15" operator="equal">
      <formula>"Fijos"</formula>
    </cfRule>
  </conditionalFormatting>
  <conditionalFormatting sqref="B48">
    <cfRule type="cellIs" dxfId="44" priority="1" operator="equal">
      <formula>"Ocio"</formula>
    </cfRule>
    <cfRule type="cellIs" dxfId="43" priority="2" operator="equal">
      <formula>"Inversion"</formula>
    </cfRule>
    <cfRule type="cellIs" dxfId="42" priority="3" operator="equal">
      <formula>"Ahorro"</formula>
    </cfRule>
    <cfRule type="cellIs" dxfId="41" priority="4" operator="equal">
      <formula>"Variables"</formula>
    </cfRule>
    <cfRule type="cellIs" dxfId="40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161456E-42CD-4276-93FB-B8B66C2CE5E3}">
          <x14:formula1>
            <xm:f>Listas!$C$2:$C$6</xm:f>
          </x14:formula1>
          <xm:sqref>E20:E47</xm:sqref>
        </x14:dataValidation>
        <x14:dataValidation type="list" allowBlank="1" showInputMessage="1" showErrorMessage="1" xr:uid="{0104A397-DF02-4AAB-AB6B-3847F6B8B96F}">
          <x14:formula1>
            <xm:f>Listas!$A$2:$A$9</xm:f>
          </x14:formula1>
          <xm:sqref>C20:C47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5248-9650-405E-A359-ADF7B1255A03}">
  <dimension ref="A1:M48"/>
  <sheetViews>
    <sheetView showGridLines="0" topLeftCell="A14" zoomScale="80" zoomScaleNormal="80" workbookViewId="0">
      <selection activeCell="J35" sqref="J35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4.7265625" style="6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3" style="6" customWidth="1"/>
    <col min="11" max="11" width="10.54296875" style="6" bestFit="1" customWidth="1"/>
    <col min="12" max="12" width="16.453125" style="6" bestFit="1" customWidth="1"/>
    <col min="13" max="16384" width="8.7265625" style="6"/>
  </cols>
  <sheetData>
    <row r="1" spans="1:13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3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3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3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3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3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3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3" ht="14.5" thickBot="1" x14ac:dyDescent="0.35">
      <c r="B8" s="30"/>
      <c r="C8" s="31"/>
    </row>
    <row r="9" spans="1:13" ht="31" customHeight="1" thickBot="1" x14ac:dyDescent="0.75">
      <c r="B9" s="75" t="s">
        <v>28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3" ht="26.5" customHeight="1" thickBot="1" x14ac:dyDescent="0.35">
      <c r="B10" s="59" t="s">
        <v>0</v>
      </c>
      <c r="C10" s="67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3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  <c r="M11" s="36"/>
    </row>
    <row r="12" spans="1:13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3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3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3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3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/>
      <c r="E20" s="40" t="s">
        <v>11</v>
      </c>
      <c r="F20" s="41"/>
      <c r="G20" s="33"/>
    </row>
    <row r="21" spans="2:10" ht="14.5" thickBot="1" x14ac:dyDescent="0.35">
      <c r="B21" s="34"/>
      <c r="C21" s="42"/>
      <c r="D21" s="42"/>
      <c r="E21" s="42" t="s">
        <v>11</v>
      </c>
      <c r="F21" s="43"/>
      <c r="G21" s="35"/>
    </row>
    <row r="22" spans="2:10" ht="18.5" thickBot="1" x14ac:dyDescent="0.45">
      <c r="B22" s="34"/>
      <c r="C22" s="42"/>
      <c r="D22" s="42"/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4"/>
      <c r="C23" s="42"/>
      <c r="D23" s="42"/>
      <c r="E23" s="42" t="s">
        <v>11</v>
      </c>
      <c r="F23" s="41"/>
      <c r="G23" s="35"/>
      <c r="I23" s="32" t="str">
        <f>+AGOSTO!I23</f>
        <v>Trii</v>
      </c>
      <c r="J23" s="33"/>
    </row>
    <row r="24" spans="2:10" x14ac:dyDescent="0.3">
      <c r="B24" s="34"/>
      <c r="C24" s="42"/>
      <c r="D24" s="42"/>
      <c r="E24" s="42" t="s">
        <v>11</v>
      </c>
      <c r="F24" s="41"/>
      <c r="G24" s="35"/>
      <c r="I24" s="32" t="str">
        <f>+AGOSTO!I24</f>
        <v>Uala</v>
      </c>
      <c r="J24" s="35"/>
    </row>
    <row r="25" spans="2:10" x14ac:dyDescent="0.3">
      <c r="B25" s="34"/>
      <c r="C25" s="42"/>
      <c r="D25" s="42"/>
      <c r="E25" s="42" t="s">
        <v>11</v>
      </c>
      <c r="F25" s="41"/>
      <c r="G25" s="35"/>
      <c r="I25" s="32" t="str">
        <f>+AGOSTO!I25</f>
        <v>Nubank</v>
      </c>
      <c r="J25" s="35"/>
    </row>
    <row r="26" spans="2:10" x14ac:dyDescent="0.3">
      <c r="B26" s="34"/>
      <c r="C26" s="42"/>
      <c r="D26" s="42"/>
      <c r="E26" s="42" t="s">
        <v>11</v>
      </c>
      <c r="F26" s="41"/>
      <c r="G26" s="35"/>
      <c r="I26" s="32">
        <f>+AGOSTO!I26</f>
        <v>0</v>
      </c>
      <c r="J26" s="35"/>
    </row>
    <row r="27" spans="2:10" x14ac:dyDescent="0.3">
      <c r="B27" s="34"/>
      <c r="C27" s="42"/>
      <c r="D27" s="42"/>
      <c r="E27" s="42" t="s">
        <v>11</v>
      </c>
      <c r="F27" s="41"/>
      <c r="G27" s="35"/>
      <c r="I27" s="32">
        <f>+AGOSTO!I27</f>
        <v>0</v>
      </c>
      <c r="J27" s="35"/>
    </row>
    <row r="28" spans="2:10" ht="14.5" thickBot="1" x14ac:dyDescent="0.35">
      <c r="B28" s="34"/>
      <c r="C28" s="42"/>
      <c r="D28" s="42"/>
      <c r="E28" s="42" t="s">
        <v>11</v>
      </c>
      <c r="F28" s="41"/>
      <c r="G28" s="35"/>
      <c r="I28" s="32">
        <f>+AGOSTO!I28</f>
        <v>0</v>
      </c>
      <c r="J28" s="38"/>
    </row>
    <row r="29" spans="2:10" x14ac:dyDescent="0.3">
      <c r="B29" s="34"/>
      <c r="C29" s="42"/>
      <c r="D29" s="42"/>
      <c r="E29" s="42" t="s">
        <v>11</v>
      </c>
      <c r="F29" s="41"/>
      <c r="G29" s="35"/>
      <c r="I29" s="69" t="s">
        <v>51</v>
      </c>
      <c r="J29" s="72">
        <f>+SUM(J23:J28)</f>
        <v>0</v>
      </c>
    </row>
    <row r="30" spans="2:10" x14ac:dyDescent="0.3">
      <c r="B30" s="34"/>
      <c r="C30" s="42"/>
      <c r="D30" s="42"/>
      <c r="E30" s="42" t="s">
        <v>11</v>
      </c>
      <c r="F30" s="41"/>
      <c r="G30" s="35"/>
      <c r="I30" s="70"/>
      <c r="J30" s="73"/>
    </row>
    <row r="31" spans="2:10" x14ac:dyDescent="0.3">
      <c r="B31" s="34"/>
      <c r="C31" s="42"/>
      <c r="D31" s="42"/>
      <c r="E31" s="42" t="s">
        <v>11</v>
      </c>
      <c r="F31" s="41"/>
      <c r="G31" s="35"/>
      <c r="I31" s="70"/>
      <c r="J31" s="73"/>
    </row>
    <row r="32" spans="2:10" ht="14.5" thickBot="1" x14ac:dyDescent="0.35">
      <c r="B32" s="34"/>
      <c r="C32" s="42"/>
      <c r="D32" s="42"/>
      <c r="E32" s="42" t="s">
        <v>11</v>
      </c>
      <c r="F32" s="41"/>
      <c r="G32" s="35"/>
      <c r="I32" s="71"/>
      <c r="J32" s="74"/>
    </row>
    <row r="33" spans="2:12" ht="14.5" thickBot="1" x14ac:dyDescent="0.35">
      <c r="B33" s="34"/>
      <c r="C33" s="42"/>
      <c r="D33" s="42"/>
      <c r="E33" s="42" t="s">
        <v>12</v>
      </c>
      <c r="F33" s="41"/>
      <c r="G33" s="35"/>
    </row>
    <row r="34" spans="2:12" ht="18.5" thickBot="1" x14ac:dyDescent="0.45">
      <c r="B34" s="34"/>
      <c r="C34" s="42"/>
      <c r="D34" s="42"/>
      <c r="E34" s="42" t="s">
        <v>1</v>
      </c>
      <c r="F34" s="41"/>
      <c r="G34" s="35"/>
      <c r="I34" s="9" t="s">
        <v>53</v>
      </c>
      <c r="J34" s="9" t="s">
        <v>54</v>
      </c>
      <c r="K34" s="9" t="s">
        <v>55</v>
      </c>
      <c r="L34" s="9" t="s">
        <v>56</v>
      </c>
    </row>
    <row r="35" spans="2:12" x14ac:dyDescent="0.3">
      <c r="B35" s="34"/>
      <c r="C35" s="42"/>
      <c r="D35" s="42"/>
      <c r="E35" s="42" t="s">
        <v>2</v>
      </c>
      <c r="F35" s="41"/>
      <c r="G35" s="35"/>
      <c r="I35" s="32">
        <f>+AGOSTO!I35</f>
        <v>0</v>
      </c>
      <c r="J35" s="45">
        <f>+AGOSTO!L35</f>
        <v>0</v>
      </c>
      <c r="K35" s="33"/>
      <c r="L35" s="51">
        <f>+J35+K35</f>
        <v>0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2">
        <f>+AGOSTO!I36</f>
        <v>0</v>
      </c>
      <c r="J36" s="45">
        <f>+AGOSTO!L36</f>
        <v>0</v>
      </c>
      <c r="K36" s="33"/>
      <c r="L36" s="51">
        <f t="shared" ref="L36:L42" si="0">+J36+K36</f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2">
        <f>+AGOSTO!I37</f>
        <v>0</v>
      </c>
      <c r="J37" s="45">
        <f>+AGOSTO!L37</f>
        <v>0</v>
      </c>
      <c r="K37" s="33"/>
      <c r="L37" s="51">
        <f t="shared" si="0"/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2">
        <f>+AGOSTO!I38</f>
        <v>0</v>
      </c>
      <c r="J38" s="45">
        <f>+AGOSTO!L38</f>
        <v>0</v>
      </c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2">
        <f>+AGOSTO!I39</f>
        <v>0</v>
      </c>
      <c r="J39" s="45">
        <f>+AGOSTO!L39</f>
        <v>0</v>
      </c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2">
        <f>+AGOSTO!I40</f>
        <v>0</v>
      </c>
      <c r="J40" s="45">
        <f>+AGOSTO!L40</f>
        <v>0</v>
      </c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2">
        <f>+AGOSTO!I41</f>
        <v>0</v>
      </c>
      <c r="J41" s="45">
        <f>+AGOSTO!L41</f>
        <v>0</v>
      </c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2">
        <f>+AGOSTO!I42</f>
        <v>0</v>
      </c>
      <c r="J42" s="45">
        <f>+AGOSTO!L42</f>
        <v>0</v>
      </c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44" t="s">
        <v>51</v>
      </c>
      <c r="J43" s="45">
        <f>SUM(J35:J42)</f>
        <v>0</v>
      </c>
      <c r="K43" s="35">
        <f>SUM(K35:K42)</f>
        <v>0</v>
      </c>
      <c r="L43" s="51">
        <f>SUM(L35:L42)</f>
        <v>0</v>
      </c>
    </row>
    <row r="44" spans="2:12" ht="14.5" thickBot="1" x14ac:dyDescent="0.35">
      <c r="B44" s="34"/>
      <c r="C44" s="42"/>
      <c r="D44" s="42"/>
      <c r="E44" s="42" t="s">
        <v>13</v>
      </c>
      <c r="F44" s="41"/>
      <c r="G44" s="35"/>
    </row>
    <row r="45" spans="2:12" ht="18.5" thickBot="1" x14ac:dyDescent="0.45">
      <c r="B45" s="34"/>
      <c r="C45" s="42"/>
      <c r="D45" s="42"/>
      <c r="E45" s="42" t="s">
        <v>12</v>
      </c>
      <c r="F45" s="41"/>
      <c r="G45" s="35"/>
      <c r="I45" s="9" t="s">
        <v>77</v>
      </c>
      <c r="J45" s="68">
        <f>+C10-B17</f>
        <v>5000000</v>
      </c>
    </row>
    <row r="46" spans="2:12" x14ac:dyDescent="0.3">
      <c r="B46" s="34"/>
      <c r="C46" s="42"/>
      <c r="D46" s="42"/>
      <c r="E46" s="42" t="s">
        <v>1</v>
      </c>
      <c r="F46" s="41"/>
      <c r="G46" s="35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48">
        <f>+SUM(F20:F47)-SUM(G20:G47)</f>
        <v>0</v>
      </c>
    </row>
  </sheetData>
  <mergeCells count="9">
    <mergeCell ref="B48:F48"/>
    <mergeCell ref="I29:I32"/>
    <mergeCell ref="J29:J32"/>
    <mergeCell ref="B9:G9"/>
    <mergeCell ref="D10:G18"/>
    <mergeCell ref="B16:C16"/>
    <mergeCell ref="B17:C18"/>
    <mergeCell ref="I16:I19"/>
    <mergeCell ref="J16:J19"/>
  </mergeCells>
  <conditionalFormatting sqref="E20:E47">
    <cfRule type="cellIs" dxfId="39" priority="6" operator="equal">
      <formula>"Ocio"</formula>
    </cfRule>
    <cfRule type="cellIs" dxfId="38" priority="7" operator="equal">
      <formula>"Inversion"</formula>
    </cfRule>
    <cfRule type="cellIs" dxfId="37" priority="8" operator="equal">
      <formula>"Ahorro"</formula>
    </cfRule>
    <cfRule type="cellIs" dxfId="36" priority="9" operator="equal">
      <formula>"Variables"</formula>
    </cfRule>
    <cfRule type="cellIs" dxfId="35" priority="10" operator="equal">
      <formula>"Fijos"</formula>
    </cfRule>
  </conditionalFormatting>
  <conditionalFormatting sqref="B48">
    <cfRule type="cellIs" dxfId="34" priority="1" operator="equal">
      <formula>"Ocio"</formula>
    </cfRule>
    <cfRule type="cellIs" dxfId="33" priority="2" operator="equal">
      <formula>"Inversion"</formula>
    </cfRule>
    <cfRule type="cellIs" dxfId="32" priority="3" operator="equal">
      <formula>"Ahorro"</formula>
    </cfRule>
    <cfRule type="cellIs" dxfId="31" priority="4" operator="equal">
      <formula>"Variables"</formula>
    </cfRule>
    <cfRule type="cellIs" dxfId="30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24F61EFF-B255-48F7-B807-B93C4CA133AA}">
          <x14:formula1>
            <xm:f>Listas!$A$2:$A$9</xm:f>
          </x14:formula1>
          <xm:sqref>C20:C47</xm:sqref>
        </x14:dataValidation>
        <x14:dataValidation type="list" allowBlank="1" showInputMessage="1" showErrorMessage="1" xr:uid="{84023066-2478-45BF-896E-96B3D8B54311}">
          <x14:formula1>
            <xm:f>Listas!$C$2:$C$6</xm:f>
          </x14:formula1>
          <xm:sqref>E20:E47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4AA4-BBE5-4A60-8C55-7E2362A3D745}">
  <dimension ref="A1:M48"/>
  <sheetViews>
    <sheetView showGridLines="0" zoomScale="80" zoomScaleNormal="80" workbookViewId="0">
      <selection activeCell="D26" sqref="D26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4.7265625" style="6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3" style="6" customWidth="1"/>
    <col min="11" max="11" width="10.54296875" style="6" bestFit="1" customWidth="1"/>
    <col min="12" max="12" width="16.453125" style="6" bestFit="1" customWidth="1"/>
    <col min="13" max="16384" width="8.7265625" style="6"/>
  </cols>
  <sheetData>
    <row r="1" spans="1:13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3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3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3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3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3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3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3" ht="14.5" thickBot="1" x14ac:dyDescent="0.35">
      <c r="B8" s="30"/>
      <c r="C8" s="31"/>
    </row>
    <row r="9" spans="1:13" ht="31" customHeight="1" thickBot="1" x14ac:dyDescent="0.75">
      <c r="B9" s="75" t="s">
        <v>29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3" ht="26.5" customHeight="1" thickBot="1" x14ac:dyDescent="0.35">
      <c r="B10" s="59" t="s">
        <v>0</v>
      </c>
      <c r="C10" s="67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3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  <c r="M11" s="36"/>
    </row>
    <row r="12" spans="1:13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3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3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3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3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/>
      <c r="E20" s="40" t="s">
        <v>11</v>
      </c>
      <c r="F20" s="41"/>
      <c r="G20" s="33"/>
    </row>
    <row r="21" spans="2:10" ht="14.5" thickBot="1" x14ac:dyDescent="0.35">
      <c r="B21" s="34"/>
      <c r="C21" s="42"/>
      <c r="D21" s="42"/>
      <c r="E21" s="42" t="s">
        <v>11</v>
      </c>
      <c r="F21" s="43"/>
      <c r="G21" s="35"/>
    </row>
    <row r="22" spans="2:10" ht="18.5" thickBot="1" x14ac:dyDescent="0.45">
      <c r="B22" s="34"/>
      <c r="C22" s="42"/>
      <c r="D22" s="42"/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4"/>
      <c r="C23" s="42"/>
      <c r="D23" s="42"/>
      <c r="E23" s="42" t="s">
        <v>11</v>
      </c>
      <c r="F23" s="41"/>
      <c r="G23" s="35"/>
      <c r="I23" s="32" t="str">
        <f>+SEPTIEMBRE!I23</f>
        <v>Trii</v>
      </c>
      <c r="J23" s="33"/>
    </row>
    <row r="24" spans="2:10" x14ac:dyDescent="0.3">
      <c r="B24" s="34"/>
      <c r="C24" s="42"/>
      <c r="D24" s="42"/>
      <c r="E24" s="42" t="s">
        <v>11</v>
      </c>
      <c r="F24" s="41"/>
      <c r="G24" s="35"/>
      <c r="I24" s="32" t="str">
        <f>+SEPTIEMBRE!I24</f>
        <v>Uala</v>
      </c>
      <c r="J24" s="35"/>
    </row>
    <row r="25" spans="2:10" x14ac:dyDescent="0.3">
      <c r="B25" s="34"/>
      <c r="C25" s="42"/>
      <c r="D25" s="42"/>
      <c r="E25" s="42" t="s">
        <v>11</v>
      </c>
      <c r="F25" s="41"/>
      <c r="G25" s="35"/>
      <c r="I25" s="32" t="str">
        <f>+SEPTIEMBRE!I25</f>
        <v>Nubank</v>
      </c>
      <c r="J25" s="35"/>
    </row>
    <row r="26" spans="2:10" x14ac:dyDescent="0.3">
      <c r="B26" s="34"/>
      <c r="C26" s="42"/>
      <c r="D26" s="42"/>
      <c r="E26" s="42" t="s">
        <v>11</v>
      </c>
      <c r="F26" s="41"/>
      <c r="G26" s="35"/>
      <c r="I26" s="32">
        <f>+SEPTIEMBRE!I26</f>
        <v>0</v>
      </c>
      <c r="J26" s="35"/>
    </row>
    <row r="27" spans="2:10" x14ac:dyDescent="0.3">
      <c r="B27" s="34"/>
      <c r="C27" s="42"/>
      <c r="D27" s="42"/>
      <c r="E27" s="42" t="s">
        <v>11</v>
      </c>
      <c r="F27" s="41"/>
      <c r="G27" s="35"/>
      <c r="I27" s="32">
        <f>+SEPTIEMBRE!I27</f>
        <v>0</v>
      </c>
      <c r="J27" s="35"/>
    </row>
    <row r="28" spans="2:10" ht="14.5" thickBot="1" x14ac:dyDescent="0.35">
      <c r="B28" s="34"/>
      <c r="C28" s="42"/>
      <c r="D28" s="42"/>
      <c r="E28" s="42" t="s">
        <v>11</v>
      </c>
      <c r="F28" s="41"/>
      <c r="G28" s="35"/>
      <c r="I28" s="32">
        <f>+SEPTIEMBRE!I28</f>
        <v>0</v>
      </c>
      <c r="J28" s="38"/>
    </row>
    <row r="29" spans="2:10" x14ac:dyDescent="0.3">
      <c r="B29" s="34"/>
      <c r="C29" s="42"/>
      <c r="D29" s="42"/>
      <c r="E29" s="42" t="s">
        <v>11</v>
      </c>
      <c r="F29" s="41"/>
      <c r="G29" s="35"/>
      <c r="I29" s="69" t="s">
        <v>51</v>
      </c>
      <c r="J29" s="72">
        <f>+SUM(J23:J28)</f>
        <v>0</v>
      </c>
    </row>
    <row r="30" spans="2:10" x14ac:dyDescent="0.3">
      <c r="B30" s="34"/>
      <c r="C30" s="42"/>
      <c r="D30" s="42"/>
      <c r="E30" s="42" t="s">
        <v>11</v>
      </c>
      <c r="F30" s="41"/>
      <c r="G30" s="35"/>
      <c r="I30" s="70"/>
      <c r="J30" s="73"/>
    </row>
    <row r="31" spans="2:10" x14ac:dyDescent="0.3">
      <c r="B31" s="34"/>
      <c r="C31" s="42"/>
      <c r="D31" s="42"/>
      <c r="E31" s="42" t="s">
        <v>11</v>
      </c>
      <c r="F31" s="41"/>
      <c r="G31" s="35"/>
      <c r="I31" s="70"/>
      <c r="J31" s="73"/>
    </row>
    <row r="32" spans="2:10" ht="14.5" thickBot="1" x14ac:dyDescent="0.35">
      <c r="B32" s="34"/>
      <c r="C32" s="42"/>
      <c r="D32" s="42"/>
      <c r="E32" s="42" t="s">
        <v>11</v>
      </c>
      <c r="F32" s="41"/>
      <c r="G32" s="35"/>
      <c r="I32" s="71"/>
      <c r="J32" s="74"/>
    </row>
    <row r="33" spans="2:12" ht="14.5" thickBot="1" x14ac:dyDescent="0.35">
      <c r="B33" s="34"/>
      <c r="C33" s="42"/>
      <c r="D33" s="42"/>
      <c r="E33" s="42" t="s">
        <v>12</v>
      </c>
      <c r="F33" s="41"/>
      <c r="G33" s="35"/>
    </row>
    <row r="34" spans="2:12" ht="18.5" thickBot="1" x14ac:dyDescent="0.45">
      <c r="B34" s="34"/>
      <c r="C34" s="42"/>
      <c r="D34" s="42"/>
      <c r="E34" s="42" t="s">
        <v>1</v>
      </c>
      <c r="F34" s="41"/>
      <c r="G34" s="35"/>
      <c r="I34" s="9" t="s">
        <v>53</v>
      </c>
      <c r="J34" s="9" t="s">
        <v>54</v>
      </c>
      <c r="K34" s="9" t="s">
        <v>55</v>
      </c>
      <c r="L34" s="9" t="s">
        <v>56</v>
      </c>
    </row>
    <row r="35" spans="2:12" x14ac:dyDescent="0.3">
      <c r="B35" s="34"/>
      <c r="C35" s="42"/>
      <c r="D35" s="42"/>
      <c r="E35" s="42" t="s">
        <v>2</v>
      </c>
      <c r="F35" s="41"/>
      <c r="G35" s="35"/>
      <c r="I35" s="32">
        <f>+SEPTIEMBRE!I35</f>
        <v>0</v>
      </c>
      <c r="J35" s="45">
        <f>+SEPTIEMBRE!L35</f>
        <v>0</v>
      </c>
      <c r="K35" s="33"/>
      <c r="L35" s="51">
        <f>+J35+K35</f>
        <v>0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2">
        <f>+SEPTIEMBRE!I36</f>
        <v>0</v>
      </c>
      <c r="J36" s="45">
        <f>+SEPTIEMBRE!L36</f>
        <v>0</v>
      </c>
      <c r="K36" s="33"/>
      <c r="L36" s="51">
        <f t="shared" ref="L36:L42" si="0">+J36+K36</f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2">
        <f>+SEPTIEMBRE!I37</f>
        <v>0</v>
      </c>
      <c r="J37" s="45">
        <f>+SEPTIEMBRE!L37</f>
        <v>0</v>
      </c>
      <c r="K37" s="33"/>
      <c r="L37" s="51">
        <f t="shared" si="0"/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2">
        <f>+SEPTIEMBRE!I38</f>
        <v>0</v>
      </c>
      <c r="J38" s="45">
        <f>+SEPTIEMBRE!L38</f>
        <v>0</v>
      </c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2">
        <f>+SEPTIEMBRE!I39</f>
        <v>0</v>
      </c>
      <c r="J39" s="45">
        <f>+SEPTIEMBRE!L39</f>
        <v>0</v>
      </c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2">
        <f>+SEPTIEMBRE!I40</f>
        <v>0</v>
      </c>
      <c r="J40" s="45">
        <f>+SEPTIEMBRE!L40</f>
        <v>0</v>
      </c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2">
        <f>+SEPTIEMBRE!I41</f>
        <v>0</v>
      </c>
      <c r="J41" s="45">
        <f>+SEPTIEMBRE!L41</f>
        <v>0</v>
      </c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2">
        <f>+SEPTIEMBRE!I42</f>
        <v>0</v>
      </c>
      <c r="J42" s="45">
        <f>+SEPTIEMBRE!L42</f>
        <v>0</v>
      </c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44" t="s">
        <v>51</v>
      </c>
      <c r="J43" s="45">
        <f>SUM(J35:J42)</f>
        <v>0</v>
      </c>
      <c r="K43" s="35">
        <f>SUM(K35:K42)</f>
        <v>0</v>
      </c>
      <c r="L43" s="51">
        <f>SUM(L35:L42)</f>
        <v>0</v>
      </c>
    </row>
    <row r="44" spans="2:12" ht="14.5" thickBot="1" x14ac:dyDescent="0.35">
      <c r="B44" s="34"/>
      <c r="C44" s="42"/>
      <c r="D44" s="42"/>
      <c r="E44" s="42" t="s">
        <v>13</v>
      </c>
      <c r="F44" s="41"/>
      <c r="G44" s="35"/>
    </row>
    <row r="45" spans="2:12" ht="18.5" thickBot="1" x14ac:dyDescent="0.45">
      <c r="B45" s="34"/>
      <c r="C45" s="42"/>
      <c r="D45" s="42"/>
      <c r="E45" s="42" t="s">
        <v>12</v>
      </c>
      <c r="F45" s="41"/>
      <c r="G45" s="35"/>
      <c r="I45" s="9" t="s">
        <v>77</v>
      </c>
      <c r="J45" s="68">
        <f>+C10-B17</f>
        <v>5000000</v>
      </c>
    </row>
    <row r="46" spans="2:12" x14ac:dyDescent="0.3">
      <c r="B46" s="34"/>
      <c r="C46" s="42"/>
      <c r="D46" s="42"/>
      <c r="E46" s="42" t="s">
        <v>1</v>
      </c>
      <c r="F46" s="41"/>
      <c r="G46" s="35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48">
        <f>+SUM(F20:F47)-SUM(G20:G47)</f>
        <v>0</v>
      </c>
    </row>
  </sheetData>
  <mergeCells count="9">
    <mergeCell ref="B48:F48"/>
    <mergeCell ref="I29:I32"/>
    <mergeCell ref="J29:J32"/>
    <mergeCell ref="B9:G9"/>
    <mergeCell ref="D10:G18"/>
    <mergeCell ref="B16:C16"/>
    <mergeCell ref="B17:C18"/>
    <mergeCell ref="I16:I19"/>
    <mergeCell ref="J16:J19"/>
  </mergeCells>
  <conditionalFormatting sqref="E20:E47">
    <cfRule type="cellIs" dxfId="29" priority="6" operator="equal">
      <formula>"Ocio"</formula>
    </cfRule>
    <cfRule type="cellIs" dxfId="28" priority="7" operator="equal">
      <formula>"Inversion"</formula>
    </cfRule>
    <cfRule type="cellIs" dxfId="27" priority="8" operator="equal">
      <formula>"Ahorro"</formula>
    </cfRule>
    <cfRule type="cellIs" dxfId="26" priority="9" operator="equal">
      <formula>"Variables"</formula>
    </cfRule>
    <cfRule type="cellIs" dxfId="25" priority="10" operator="equal">
      <formula>"Fijos"</formula>
    </cfRule>
  </conditionalFormatting>
  <conditionalFormatting sqref="B48">
    <cfRule type="cellIs" dxfId="24" priority="1" operator="equal">
      <formula>"Ocio"</formula>
    </cfRule>
    <cfRule type="cellIs" dxfId="23" priority="2" operator="equal">
      <formula>"Inversion"</formula>
    </cfRule>
    <cfRule type="cellIs" dxfId="22" priority="3" operator="equal">
      <formula>"Ahorro"</formula>
    </cfRule>
    <cfRule type="cellIs" dxfId="21" priority="4" operator="equal">
      <formula>"Variables"</formula>
    </cfRule>
    <cfRule type="cellIs" dxfId="20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48ACBA-0D16-427C-91BE-8AA01B9830E5}">
          <x14:formula1>
            <xm:f>Listas!$C$2:$C$6</xm:f>
          </x14:formula1>
          <xm:sqref>E20:E47</xm:sqref>
        </x14:dataValidation>
        <x14:dataValidation type="list" allowBlank="1" showInputMessage="1" showErrorMessage="1" xr:uid="{132518C3-A079-4558-8931-83B8F882AC5A}">
          <x14:formula1>
            <xm:f>Listas!$A$2:$A$9</xm:f>
          </x14:formula1>
          <xm:sqref>C20:C47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2598-41BF-410E-99D0-9EECB3B01DE7}">
  <dimension ref="A1:M48"/>
  <sheetViews>
    <sheetView showGridLines="0" topLeftCell="A2" zoomScale="80" zoomScaleNormal="80" workbookViewId="0">
      <selection activeCell="J36" sqref="J36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4.7265625" style="6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3" style="6" customWidth="1"/>
    <col min="11" max="11" width="10.54296875" style="6" bestFit="1" customWidth="1"/>
    <col min="12" max="12" width="16.453125" style="6" bestFit="1" customWidth="1"/>
    <col min="13" max="16384" width="8.7265625" style="6"/>
  </cols>
  <sheetData>
    <row r="1" spans="1:13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3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3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3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3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3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3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3" ht="14.5" thickBot="1" x14ac:dyDescent="0.35">
      <c r="B8" s="30"/>
      <c r="C8" s="31"/>
    </row>
    <row r="9" spans="1:13" ht="31" customHeight="1" thickBot="1" x14ac:dyDescent="0.75">
      <c r="B9" s="75" t="s">
        <v>30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3" ht="26.5" customHeight="1" thickBot="1" x14ac:dyDescent="0.35">
      <c r="B10" s="59" t="s">
        <v>0</v>
      </c>
      <c r="C10" s="67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3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  <c r="M11" s="36"/>
    </row>
    <row r="12" spans="1:13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3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3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3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3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/>
      <c r="E20" s="40" t="s">
        <v>11</v>
      </c>
      <c r="F20" s="41"/>
      <c r="G20" s="33"/>
    </row>
    <row r="21" spans="2:10" ht="14.5" thickBot="1" x14ac:dyDescent="0.35">
      <c r="B21" s="34"/>
      <c r="C21" s="42"/>
      <c r="D21" s="42"/>
      <c r="E21" s="42" t="s">
        <v>11</v>
      </c>
      <c r="F21" s="43"/>
      <c r="G21" s="35"/>
    </row>
    <row r="22" spans="2:10" ht="18.5" thickBot="1" x14ac:dyDescent="0.45">
      <c r="B22" s="34"/>
      <c r="C22" s="42"/>
      <c r="D22" s="42"/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4"/>
      <c r="C23" s="42"/>
      <c r="D23" s="42"/>
      <c r="E23" s="42" t="s">
        <v>11</v>
      </c>
      <c r="F23" s="41"/>
      <c r="G23" s="35"/>
      <c r="I23" s="32" t="str">
        <f>+OCTUBRE!I23</f>
        <v>Trii</v>
      </c>
      <c r="J23" s="33"/>
    </row>
    <row r="24" spans="2:10" x14ac:dyDescent="0.3">
      <c r="B24" s="34"/>
      <c r="C24" s="42"/>
      <c r="D24" s="42"/>
      <c r="E24" s="42" t="s">
        <v>11</v>
      </c>
      <c r="F24" s="41"/>
      <c r="G24" s="35"/>
      <c r="I24" s="32" t="str">
        <f>+OCTUBRE!I24</f>
        <v>Uala</v>
      </c>
      <c r="J24" s="35"/>
    </row>
    <row r="25" spans="2:10" x14ac:dyDescent="0.3">
      <c r="B25" s="34"/>
      <c r="C25" s="42"/>
      <c r="D25" s="42"/>
      <c r="E25" s="42" t="s">
        <v>11</v>
      </c>
      <c r="F25" s="41"/>
      <c r="G25" s="35"/>
      <c r="I25" s="32" t="str">
        <f>+OCTUBRE!I25</f>
        <v>Nubank</v>
      </c>
      <c r="J25" s="35"/>
    </row>
    <row r="26" spans="2:10" x14ac:dyDescent="0.3">
      <c r="B26" s="34"/>
      <c r="C26" s="42"/>
      <c r="D26" s="42"/>
      <c r="E26" s="42" t="s">
        <v>11</v>
      </c>
      <c r="F26" s="41"/>
      <c r="G26" s="35"/>
      <c r="I26" s="32">
        <f>+OCTUBRE!I26</f>
        <v>0</v>
      </c>
      <c r="J26" s="35"/>
    </row>
    <row r="27" spans="2:10" x14ac:dyDescent="0.3">
      <c r="B27" s="34"/>
      <c r="C27" s="42"/>
      <c r="D27" s="42"/>
      <c r="E27" s="42" t="s">
        <v>11</v>
      </c>
      <c r="F27" s="41"/>
      <c r="G27" s="35"/>
      <c r="I27" s="32">
        <f>+OCTUBRE!I27</f>
        <v>0</v>
      </c>
      <c r="J27" s="35"/>
    </row>
    <row r="28" spans="2:10" ht="14.5" thickBot="1" x14ac:dyDescent="0.35">
      <c r="B28" s="34"/>
      <c r="C28" s="42"/>
      <c r="D28" s="42"/>
      <c r="E28" s="42" t="s">
        <v>11</v>
      </c>
      <c r="F28" s="41"/>
      <c r="G28" s="35"/>
      <c r="I28" s="32">
        <f>+OCTUBRE!I28</f>
        <v>0</v>
      </c>
      <c r="J28" s="38"/>
    </row>
    <row r="29" spans="2:10" x14ac:dyDescent="0.3">
      <c r="B29" s="34"/>
      <c r="C29" s="42"/>
      <c r="D29" s="42"/>
      <c r="E29" s="42" t="s">
        <v>11</v>
      </c>
      <c r="F29" s="41"/>
      <c r="G29" s="35"/>
      <c r="I29" s="69" t="s">
        <v>51</v>
      </c>
      <c r="J29" s="72">
        <f>+SUM(J23:J28)</f>
        <v>0</v>
      </c>
    </row>
    <row r="30" spans="2:10" x14ac:dyDescent="0.3">
      <c r="B30" s="34"/>
      <c r="C30" s="42"/>
      <c r="D30" s="42"/>
      <c r="E30" s="42" t="s">
        <v>11</v>
      </c>
      <c r="F30" s="41"/>
      <c r="G30" s="35"/>
      <c r="I30" s="70"/>
      <c r="J30" s="73"/>
    </row>
    <row r="31" spans="2:10" x14ac:dyDescent="0.3">
      <c r="B31" s="34"/>
      <c r="C31" s="42"/>
      <c r="D31" s="42"/>
      <c r="E31" s="42" t="s">
        <v>11</v>
      </c>
      <c r="F31" s="41"/>
      <c r="G31" s="35"/>
      <c r="I31" s="70"/>
      <c r="J31" s="73"/>
    </row>
    <row r="32" spans="2:10" ht="14.5" thickBot="1" x14ac:dyDescent="0.35">
      <c r="B32" s="34"/>
      <c r="C32" s="42"/>
      <c r="D32" s="42"/>
      <c r="E32" s="42" t="s">
        <v>11</v>
      </c>
      <c r="F32" s="41"/>
      <c r="G32" s="35"/>
      <c r="I32" s="71"/>
      <c r="J32" s="74"/>
    </row>
    <row r="33" spans="2:12" ht="14.5" thickBot="1" x14ac:dyDescent="0.35">
      <c r="B33" s="34"/>
      <c r="C33" s="42"/>
      <c r="D33" s="42"/>
      <c r="E33" s="42" t="s">
        <v>12</v>
      </c>
      <c r="F33" s="41"/>
      <c r="G33" s="35"/>
    </row>
    <row r="34" spans="2:12" ht="18.5" thickBot="1" x14ac:dyDescent="0.45">
      <c r="B34" s="34"/>
      <c r="C34" s="42"/>
      <c r="D34" s="42"/>
      <c r="E34" s="42" t="s">
        <v>1</v>
      </c>
      <c r="F34" s="41"/>
      <c r="G34" s="35"/>
      <c r="I34" s="9" t="s">
        <v>53</v>
      </c>
      <c r="J34" s="9" t="s">
        <v>54</v>
      </c>
      <c r="K34" s="9" t="s">
        <v>55</v>
      </c>
      <c r="L34" s="9" t="s">
        <v>56</v>
      </c>
    </row>
    <row r="35" spans="2:12" x14ac:dyDescent="0.3">
      <c r="B35" s="34"/>
      <c r="C35" s="42"/>
      <c r="D35" s="42"/>
      <c r="E35" s="42" t="s">
        <v>2</v>
      </c>
      <c r="F35" s="41"/>
      <c r="G35" s="35"/>
      <c r="I35" s="32">
        <f>+OCTUBRE!I35</f>
        <v>0</v>
      </c>
      <c r="J35" s="45">
        <f>+OCTUBRE!L35</f>
        <v>0</v>
      </c>
      <c r="K35" s="33"/>
      <c r="L35" s="51">
        <f>+J35+K35</f>
        <v>0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2">
        <f>+OCTUBRE!I36</f>
        <v>0</v>
      </c>
      <c r="J36" s="45">
        <f>+OCTUBRE!L36</f>
        <v>0</v>
      </c>
      <c r="K36" s="33"/>
      <c r="L36" s="51">
        <f t="shared" ref="L36:L42" si="0">+J36+K36</f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2">
        <f>+OCTUBRE!I37</f>
        <v>0</v>
      </c>
      <c r="J37" s="45">
        <f>+OCTUBRE!L37</f>
        <v>0</v>
      </c>
      <c r="K37" s="33"/>
      <c r="L37" s="51">
        <f t="shared" si="0"/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2">
        <f>+OCTUBRE!I38</f>
        <v>0</v>
      </c>
      <c r="J38" s="45">
        <f>+OCTUBRE!L38</f>
        <v>0</v>
      </c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2">
        <f>+OCTUBRE!I39</f>
        <v>0</v>
      </c>
      <c r="J39" s="45">
        <f>+OCTUBRE!L39</f>
        <v>0</v>
      </c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2">
        <f>+OCTUBRE!I40</f>
        <v>0</v>
      </c>
      <c r="J40" s="45">
        <f>+OCTUBRE!L40</f>
        <v>0</v>
      </c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2">
        <f>+OCTUBRE!I41</f>
        <v>0</v>
      </c>
      <c r="J41" s="45">
        <f>+OCTUBRE!L41</f>
        <v>0</v>
      </c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2">
        <f>+OCTUBRE!I42</f>
        <v>0</v>
      </c>
      <c r="J42" s="45">
        <f>+OCTUBRE!L42</f>
        <v>0</v>
      </c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44" t="s">
        <v>51</v>
      </c>
      <c r="J43" s="45">
        <f>SUM(J35:J42)</f>
        <v>0</v>
      </c>
      <c r="K43" s="35">
        <f>SUM(K35:K42)</f>
        <v>0</v>
      </c>
      <c r="L43" s="51">
        <f>SUM(L35:L42)</f>
        <v>0</v>
      </c>
    </row>
    <row r="44" spans="2:12" ht="14.5" thickBot="1" x14ac:dyDescent="0.35">
      <c r="B44" s="34"/>
      <c r="C44" s="42"/>
      <c r="D44" s="42"/>
      <c r="E44" s="42" t="s">
        <v>13</v>
      </c>
      <c r="F44" s="41"/>
      <c r="G44" s="35"/>
    </row>
    <row r="45" spans="2:12" ht="18.5" thickBot="1" x14ac:dyDescent="0.45">
      <c r="B45" s="34"/>
      <c r="C45" s="42"/>
      <c r="D45" s="42"/>
      <c r="E45" s="42" t="s">
        <v>12</v>
      </c>
      <c r="F45" s="41"/>
      <c r="G45" s="35"/>
      <c r="I45" s="9" t="s">
        <v>77</v>
      </c>
      <c r="J45" s="68">
        <f>+C10-B17</f>
        <v>5000000</v>
      </c>
    </row>
    <row r="46" spans="2:12" x14ac:dyDescent="0.3">
      <c r="B46" s="34"/>
      <c r="C46" s="42"/>
      <c r="D46" s="42"/>
      <c r="E46" s="42" t="s">
        <v>1</v>
      </c>
      <c r="F46" s="41"/>
      <c r="G46" s="35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48">
        <f>+SUM(F20:F47)-SUM(G20:G47)</f>
        <v>0</v>
      </c>
    </row>
  </sheetData>
  <mergeCells count="9">
    <mergeCell ref="B48:F48"/>
    <mergeCell ref="I29:I32"/>
    <mergeCell ref="J29:J32"/>
    <mergeCell ref="B9:G9"/>
    <mergeCell ref="D10:G18"/>
    <mergeCell ref="B16:C16"/>
    <mergeCell ref="B17:C18"/>
    <mergeCell ref="I16:I19"/>
    <mergeCell ref="J16:J19"/>
  </mergeCells>
  <conditionalFormatting sqref="E20:E47">
    <cfRule type="cellIs" dxfId="19" priority="6" operator="equal">
      <formula>"Ocio"</formula>
    </cfRule>
    <cfRule type="cellIs" dxfId="18" priority="7" operator="equal">
      <formula>"Inversion"</formula>
    </cfRule>
    <cfRule type="cellIs" dxfId="17" priority="8" operator="equal">
      <formula>"Ahorro"</formula>
    </cfRule>
    <cfRule type="cellIs" dxfId="16" priority="9" operator="equal">
      <formula>"Variables"</formula>
    </cfRule>
    <cfRule type="cellIs" dxfId="15" priority="10" operator="equal">
      <formula>"Fijos"</formula>
    </cfRule>
  </conditionalFormatting>
  <conditionalFormatting sqref="B48">
    <cfRule type="cellIs" dxfId="14" priority="1" operator="equal">
      <formula>"Ocio"</formula>
    </cfRule>
    <cfRule type="cellIs" dxfId="13" priority="2" operator="equal">
      <formula>"Inversion"</formula>
    </cfRule>
    <cfRule type="cellIs" dxfId="12" priority="3" operator="equal">
      <formula>"Ahorro"</formula>
    </cfRule>
    <cfRule type="cellIs" dxfId="11" priority="4" operator="equal">
      <formula>"Variables"</formula>
    </cfRule>
    <cfRule type="cellIs" dxfId="10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300D1A-5536-40DA-8931-B84D3CDDB3E4}">
          <x14:formula1>
            <xm:f>Listas!$A$2:$A$9</xm:f>
          </x14:formula1>
          <xm:sqref>C20:C47</xm:sqref>
        </x14:dataValidation>
        <x14:dataValidation type="list" allowBlank="1" showInputMessage="1" showErrorMessage="1" xr:uid="{239E18EB-ACE2-458F-9ED8-E4BB1273705A}">
          <x14:formula1>
            <xm:f>Listas!$C$2:$C$6</xm:f>
          </x14:formula1>
          <xm:sqref>E20:E47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C481-E12B-4F46-870A-3167A7D50C84}">
  <dimension ref="A1:M48"/>
  <sheetViews>
    <sheetView showGridLines="0" topLeftCell="A14" zoomScale="80" zoomScaleNormal="80" workbookViewId="0">
      <selection activeCell="I23" sqref="I23"/>
    </sheetView>
  </sheetViews>
  <sheetFormatPr defaultRowHeight="14" x14ac:dyDescent="0.3"/>
  <cols>
    <col min="1" max="1" width="8.7265625" style="6"/>
    <col min="2" max="2" width="14.6328125" style="6" bestFit="1" customWidth="1"/>
    <col min="3" max="3" width="14.7265625" style="6" customWidth="1"/>
    <col min="4" max="4" width="30.7265625" style="6" customWidth="1"/>
    <col min="5" max="5" width="14.453125" style="6" customWidth="1"/>
    <col min="6" max="6" width="19.6328125" style="6" customWidth="1"/>
    <col min="7" max="7" width="17.453125" style="6" customWidth="1"/>
    <col min="8" max="8" width="8.7265625" style="6"/>
    <col min="9" max="9" width="25.81640625" style="6" customWidth="1"/>
    <col min="10" max="10" width="23" style="6" customWidth="1"/>
    <col min="11" max="11" width="10.54296875" style="6" bestFit="1" customWidth="1"/>
    <col min="12" max="12" width="16.453125" style="6" bestFit="1" customWidth="1"/>
    <col min="13" max="16384" width="8.7265625" style="6"/>
  </cols>
  <sheetData>
    <row r="1" spans="1:13" x14ac:dyDescent="0.3">
      <c r="A1" s="10"/>
      <c r="B1" s="11"/>
      <c r="C1" s="12">
        <f>SUM(C3:C7)</f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1:13" x14ac:dyDescent="0.3">
      <c r="A2" s="15"/>
      <c r="B2" s="16" t="s">
        <v>0</v>
      </c>
      <c r="C2" s="17">
        <f>100%-C1</f>
        <v>1</v>
      </c>
      <c r="D2" s="18"/>
      <c r="E2" s="18"/>
      <c r="F2" s="18"/>
      <c r="G2" s="18"/>
      <c r="H2" s="18"/>
      <c r="I2" s="18"/>
      <c r="J2" s="18"/>
      <c r="K2" s="18"/>
      <c r="L2" s="19"/>
    </row>
    <row r="3" spans="1:13" x14ac:dyDescent="0.3">
      <c r="A3" s="15"/>
      <c r="B3" s="16" t="s">
        <v>11</v>
      </c>
      <c r="C3" s="17">
        <f>+C11/C10</f>
        <v>0</v>
      </c>
      <c r="D3" s="18"/>
      <c r="E3" s="18"/>
      <c r="F3" s="18"/>
      <c r="G3" s="18"/>
      <c r="H3" s="18"/>
      <c r="I3" s="18"/>
      <c r="J3" s="18"/>
      <c r="K3" s="18"/>
      <c r="L3" s="19"/>
    </row>
    <row r="4" spans="1:13" x14ac:dyDescent="0.3">
      <c r="A4" s="15"/>
      <c r="B4" s="16" t="s">
        <v>12</v>
      </c>
      <c r="C4" s="17">
        <f>+C12/C10</f>
        <v>0</v>
      </c>
      <c r="D4" s="18"/>
      <c r="E4" s="18"/>
      <c r="F4" s="18"/>
      <c r="G4" s="18"/>
      <c r="H4" s="18"/>
      <c r="I4" s="18"/>
      <c r="J4" s="18"/>
      <c r="K4" s="18"/>
      <c r="L4" s="19"/>
    </row>
    <row r="5" spans="1:13" x14ac:dyDescent="0.3">
      <c r="A5" s="15"/>
      <c r="B5" s="16" t="s">
        <v>13</v>
      </c>
      <c r="C5" s="17">
        <f>+C15/C10</f>
        <v>0</v>
      </c>
      <c r="D5" s="18"/>
      <c r="E5" s="18"/>
      <c r="F5" s="18"/>
      <c r="G5" s="18"/>
      <c r="H5" s="18"/>
      <c r="I5" s="18"/>
      <c r="J5" s="18"/>
      <c r="K5" s="18"/>
      <c r="L5" s="19"/>
    </row>
    <row r="6" spans="1:13" x14ac:dyDescent="0.3">
      <c r="A6" s="15"/>
      <c r="B6" s="16" t="s">
        <v>1</v>
      </c>
      <c r="C6" s="17">
        <f>+C13/C10</f>
        <v>0</v>
      </c>
      <c r="D6" s="18"/>
      <c r="E6" s="18"/>
      <c r="F6" s="18"/>
      <c r="G6" s="18"/>
      <c r="H6" s="18"/>
      <c r="I6" s="18"/>
      <c r="J6" s="18"/>
      <c r="K6" s="18"/>
      <c r="L6" s="19"/>
    </row>
    <row r="7" spans="1:13" ht="14.5" thickBot="1" x14ac:dyDescent="0.35">
      <c r="A7" s="20"/>
      <c r="B7" s="21" t="s">
        <v>2</v>
      </c>
      <c r="C7" s="22">
        <f>+C14/C10</f>
        <v>0</v>
      </c>
      <c r="D7" s="23"/>
      <c r="E7" s="23"/>
      <c r="F7" s="23"/>
      <c r="G7" s="23"/>
      <c r="H7" s="23"/>
      <c r="I7" s="23"/>
      <c r="J7" s="23"/>
      <c r="K7" s="23"/>
      <c r="L7" s="24"/>
    </row>
    <row r="8" spans="1:13" ht="14.5" thickBot="1" x14ac:dyDescent="0.35">
      <c r="B8" s="30"/>
      <c r="C8" s="31"/>
    </row>
    <row r="9" spans="1:13" ht="31" customHeight="1" thickBot="1" x14ac:dyDescent="0.75">
      <c r="B9" s="75" t="s">
        <v>31</v>
      </c>
      <c r="C9" s="76"/>
      <c r="D9" s="76"/>
      <c r="E9" s="76"/>
      <c r="F9" s="76"/>
      <c r="G9" s="77"/>
      <c r="I9" s="9" t="s">
        <v>62</v>
      </c>
      <c r="J9" s="9" t="s">
        <v>50</v>
      </c>
    </row>
    <row r="10" spans="1:13" ht="26.5" customHeight="1" thickBot="1" x14ac:dyDescent="0.35">
      <c r="B10" s="59" t="s">
        <v>0</v>
      </c>
      <c r="C10" s="67">
        <f>+J16</f>
        <v>5000000</v>
      </c>
      <c r="D10" s="86"/>
      <c r="E10" s="86"/>
      <c r="F10" s="86"/>
      <c r="G10" s="87"/>
      <c r="I10" s="32"/>
      <c r="J10" s="33">
        <v>5000000</v>
      </c>
    </row>
    <row r="11" spans="1:13" ht="26.5" customHeight="1" x14ac:dyDescent="0.3">
      <c r="B11" s="52" t="s">
        <v>11</v>
      </c>
      <c r="C11" s="53">
        <f>+SUMIFS($G$20:$G$48,$E$20:$E$48,$B$11)</f>
        <v>0</v>
      </c>
      <c r="D11" s="86"/>
      <c r="E11" s="86"/>
      <c r="F11" s="86"/>
      <c r="G11" s="87"/>
      <c r="I11" s="34"/>
      <c r="J11" s="35"/>
      <c r="M11" s="36"/>
    </row>
    <row r="12" spans="1:13" ht="26.5" customHeight="1" x14ac:dyDescent="0.3">
      <c r="B12" s="54" t="s">
        <v>12</v>
      </c>
      <c r="C12" s="55">
        <f>+SUMIFS($G$20:$G$47,$E$20:$E$47,$B$12)</f>
        <v>0</v>
      </c>
      <c r="D12" s="86"/>
      <c r="E12" s="86"/>
      <c r="F12" s="86"/>
      <c r="G12" s="87"/>
      <c r="I12" s="34"/>
      <c r="J12" s="35"/>
    </row>
    <row r="13" spans="1:13" ht="26.5" customHeight="1" x14ac:dyDescent="0.3">
      <c r="B13" s="54" t="s">
        <v>1</v>
      </c>
      <c r="C13" s="55">
        <f>+SUMIFS($G$20:$G$48,$E$20:$E$48,$B$13)</f>
        <v>0</v>
      </c>
      <c r="D13" s="86"/>
      <c r="E13" s="86"/>
      <c r="F13" s="86"/>
      <c r="G13" s="87"/>
      <c r="I13" s="34"/>
      <c r="J13" s="35"/>
    </row>
    <row r="14" spans="1:13" ht="26.5" customHeight="1" x14ac:dyDescent="0.3">
      <c r="B14" s="56" t="s">
        <v>2</v>
      </c>
      <c r="C14" s="57">
        <f>+SUMIFS($G$20:$G$48,$E$20:$E$48,$B$14)</f>
        <v>0</v>
      </c>
      <c r="D14" s="86"/>
      <c r="E14" s="86"/>
      <c r="F14" s="86"/>
      <c r="G14" s="87"/>
      <c r="I14" s="34"/>
      <c r="J14" s="35"/>
    </row>
    <row r="15" spans="1:13" ht="26.5" customHeight="1" thickBot="1" x14ac:dyDescent="0.35">
      <c r="B15" s="56" t="s">
        <v>13</v>
      </c>
      <c r="C15" s="57">
        <f>+SUMIFS($G$20:$G$48,$E$20:$E$48,$B$15)</f>
        <v>0</v>
      </c>
      <c r="D15" s="86"/>
      <c r="E15" s="86"/>
      <c r="F15" s="86"/>
      <c r="G15" s="87"/>
      <c r="I15" s="37"/>
      <c r="J15" s="38"/>
    </row>
    <row r="16" spans="1:13" ht="14.5" thickBot="1" x14ac:dyDescent="0.35">
      <c r="B16" s="80" t="s">
        <v>3</v>
      </c>
      <c r="C16" s="81"/>
      <c r="D16" s="86"/>
      <c r="E16" s="86"/>
      <c r="F16" s="86"/>
      <c r="G16" s="87"/>
      <c r="I16" s="69" t="s">
        <v>51</v>
      </c>
      <c r="J16" s="72">
        <f>+SUM(J10:J15)</f>
        <v>5000000</v>
      </c>
    </row>
    <row r="17" spans="2:10" x14ac:dyDescent="0.3">
      <c r="B17" s="82">
        <f>+SUM(C11:C15)</f>
        <v>0</v>
      </c>
      <c r="C17" s="83"/>
      <c r="D17" s="86"/>
      <c r="E17" s="86"/>
      <c r="F17" s="86"/>
      <c r="G17" s="87"/>
      <c r="I17" s="70"/>
      <c r="J17" s="73"/>
    </row>
    <row r="18" spans="2:10" ht="14.5" thickBot="1" x14ac:dyDescent="0.35">
      <c r="B18" s="84"/>
      <c r="C18" s="85"/>
      <c r="D18" s="86"/>
      <c r="E18" s="86"/>
      <c r="F18" s="86"/>
      <c r="G18" s="87"/>
      <c r="I18" s="70"/>
      <c r="J18" s="73"/>
    </row>
    <row r="19" spans="2:10" ht="14.5" thickBot="1" x14ac:dyDescent="0.35">
      <c r="B19" s="7" t="s">
        <v>14</v>
      </c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I19" s="71"/>
      <c r="J19" s="74"/>
    </row>
    <row r="20" spans="2:10" x14ac:dyDescent="0.3">
      <c r="B20" s="39"/>
      <c r="C20" s="40"/>
      <c r="D20" s="40"/>
      <c r="E20" s="40" t="s">
        <v>11</v>
      </c>
      <c r="F20" s="41"/>
      <c r="G20" s="33"/>
    </row>
    <row r="21" spans="2:10" ht="14.5" thickBot="1" x14ac:dyDescent="0.35">
      <c r="B21" s="34"/>
      <c r="C21" s="42"/>
      <c r="D21" s="42"/>
      <c r="E21" s="42" t="s">
        <v>11</v>
      </c>
      <c r="F21" s="43"/>
      <c r="G21" s="35"/>
    </row>
    <row r="22" spans="2:10" ht="18.5" thickBot="1" x14ac:dyDescent="0.45">
      <c r="B22" s="34"/>
      <c r="C22" s="42"/>
      <c r="D22" s="42"/>
      <c r="E22" s="42" t="s">
        <v>2</v>
      </c>
      <c r="F22" s="41"/>
      <c r="G22" s="35"/>
      <c r="I22" s="9" t="s">
        <v>49</v>
      </c>
      <c r="J22" s="9" t="s">
        <v>50</v>
      </c>
    </row>
    <row r="23" spans="2:10" x14ac:dyDescent="0.3">
      <c r="B23" s="34"/>
      <c r="C23" s="42"/>
      <c r="D23" s="42"/>
      <c r="E23" s="42" t="s">
        <v>11</v>
      </c>
      <c r="F23" s="41"/>
      <c r="G23" s="35"/>
      <c r="I23" s="32" t="str">
        <f>+NOVIEMBRE!I23</f>
        <v>Trii</v>
      </c>
      <c r="J23" s="33"/>
    </row>
    <row r="24" spans="2:10" x14ac:dyDescent="0.3">
      <c r="B24" s="34"/>
      <c r="C24" s="42"/>
      <c r="D24" s="42"/>
      <c r="E24" s="42" t="s">
        <v>11</v>
      </c>
      <c r="F24" s="41"/>
      <c r="G24" s="35"/>
      <c r="I24" s="32" t="str">
        <f>+NOVIEMBRE!I24</f>
        <v>Uala</v>
      </c>
      <c r="J24" s="35"/>
    </row>
    <row r="25" spans="2:10" x14ac:dyDescent="0.3">
      <c r="B25" s="34"/>
      <c r="C25" s="42"/>
      <c r="D25" s="42"/>
      <c r="E25" s="42" t="s">
        <v>11</v>
      </c>
      <c r="F25" s="41"/>
      <c r="G25" s="35"/>
      <c r="I25" s="32" t="str">
        <f>+NOVIEMBRE!I25</f>
        <v>Nubank</v>
      </c>
      <c r="J25" s="35"/>
    </row>
    <row r="26" spans="2:10" x14ac:dyDescent="0.3">
      <c r="B26" s="34"/>
      <c r="C26" s="42"/>
      <c r="D26" s="42"/>
      <c r="E26" s="42" t="s">
        <v>11</v>
      </c>
      <c r="F26" s="41"/>
      <c r="G26" s="35"/>
      <c r="I26" s="32">
        <f>+NOVIEMBRE!I26</f>
        <v>0</v>
      </c>
      <c r="J26" s="35"/>
    </row>
    <row r="27" spans="2:10" x14ac:dyDescent="0.3">
      <c r="B27" s="34"/>
      <c r="C27" s="42"/>
      <c r="D27" s="42"/>
      <c r="E27" s="42" t="s">
        <v>11</v>
      </c>
      <c r="F27" s="41"/>
      <c r="G27" s="35"/>
      <c r="I27" s="32">
        <f>+NOVIEMBRE!I27</f>
        <v>0</v>
      </c>
      <c r="J27" s="35"/>
    </row>
    <row r="28" spans="2:10" ht="14.5" thickBot="1" x14ac:dyDescent="0.35">
      <c r="B28" s="34"/>
      <c r="C28" s="42"/>
      <c r="D28" s="42"/>
      <c r="E28" s="42" t="s">
        <v>11</v>
      </c>
      <c r="F28" s="41"/>
      <c r="G28" s="35"/>
      <c r="I28" s="32">
        <f>+NOVIEMBRE!I28</f>
        <v>0</v>
      </c>
      <c r="J28" s="38"/>
    </row>
    <row r="29" spans="2:10" x14ac:dyDescent="0.3">
      <c r="B29" s="34"/>
      <c r="C29" s="42"/>
      <c r="D29" s="42"/>
      <c r="E29" s="42" t="s">
        <v>11</v>
      </c>
      <c r="F29" s="41"/>
      <c r="G29" s="35"/>
      <c r="I29" s="69" t="s">
        <v>51</v>
      </c>
      <c r="J29" s="72">
        <f>+SUM(J23:J28)</f>
        <v>0</v>
      </c>
    </row>
    <row r="30" spans="2:10" x14ac:dyDescent="0.3">
      <c r="B30" s="34"/>
      <c r="C30" s="42"/>
      <c r="D30" s="42"/>
      <c r="E30" s="42" t="s">
        <v>11</v>
      </c>
      <c r="F30" s="41"/>
      <c r="G30" s="35"/>
      <c r="I30" s="70"/>
      <c r="J30" s="73"/>
    </row>
    <row r="31" spans="2:10" x14ac:dyDescent="0.3">
      <c r="B31" s="34"/>
      <c r="C31" s="42"/>
      <c r="D31" s="42"/>
      <c r="E31" s="42" t="s">
        <v>11</v>
      </c>
      <c r="F31" s="41"/>
      <c r="G31" s="35"/>
      <c r="I31" s="70"/>
      <c r="J31" s="73"/>
    </row>
    <row r="32" spans="2:10" ht="14.5" thickBot="1" x14ac:dyDescent="0.35">
      <c r="B32" s="34"/>
      <c r="C32" s="42"/>
      <c r="D32" s="42"/>
      <c r="E32" s="42" t="s">
        <v>11</v>
      </c>
      <c r="F32" s="41"/>
      <c r="G32" s="35"/>
      <c r="I32" s="71"/>
      <c r="J32" s="74"/>
    </row>
    <row r="33" spans="2:12" ht="14.5" thickBot="1" x14ac:dyDescent="0.35">
      <c r="B33" s="34"/>
      <c r="C33" s="42"/>
      <c r="D33" s="42"/>
      <c r="E33" s="42" t="s">
        <v>12</v>
      </c>
      <c r="F33" s="41"/>
      <c r="G33" s="35"/>
    </row>
    <row r="34" spans="2:12" ht="18.5" thickBot="1" x14ac:dyDescent="0.45">
      <c r="B34" s="34"/>
      <c r="C34" s="42"/>
      <c r="D34" s="42"/>
      <c r="E34" s="42" t="s">
        <v>1</v>
      </c>
      <c r="F34" s="41"/>
      <c r="G34" s="35"/>
      <c r="I34" s="9" t="s">
        <v>53</v>
      </c>
      <c r="J34" s="9" t="s">
        <v>54</v>
      </c>
      <c r="K34" s="9" t="s">
        <v>55</v>
      </c>
      <c r="L34" s="9" t="s">
        <v>56</v>
      </c>
    </row>
    <row r="35" spans="2:12" x14ac:dyDescent="0.3">
      <c r="B35" s="34"/>
      <c r="C35" s="42"/>
      <c r="D35" s="42"/>
      <c r="E35" s="42" t="s">
        <v>2</v>
      </c>
      <c r="F35" s="41"/>
      <c r="G35" s="35"/>
      <c r="I35" s="32">
        <f>+NOVIEMBRE!I35</f>
        <v>0</v>
      </c>
      <c r="J35" s="45">
        <f>+NOVIEMBRE!L35</f>
        <v>0</v>
      </c>
      <c r="K35" s="33"/>
      <c r="L35" s="51">
        <f>+J35+K35</f>
        <v>0</v>
      </c>
    </row>
    <row r="36" spans="2:12" x14ac:dyDescent="0.3">
      <c r="B36" s="34"/>
      <c r="C36" s="42"/>
      <c r="D36" s="42"/>
      <c r="E36" s="42" t="s">
        <v>1</v>
      </c>
      <c r="F36" s="41"/>
      <c r="G36" s="35"/>
      <c r="I36" s="32">
        <f>+NOVIEMBRE!I36</f>
        <v>0</v>
      </c>
      <c r="J36" s="45">
        <f>+NOVIEMBRE!L36</f>
        <v>0</v>
      </c>
      <c r="K36" s="33"/>
      <c r="L36" s="51">
        <f t="shared" ref="L36:L42" si="0">+J36+K36</f>
        <v>0</v>
      </c>
    </row>
    <row r="37" spans="2:12" x14ac:dyDescent="0.3">
      <c r="B37" s="34"/>
      <c r="C37" s="42"/>
      <c r="D37" s="42"/>
      <c r="E37" s="42" t="s">
        <v>11</v>
      </c>
      <c r="F37" s="41"/>
      <c r="G37" s="35"/>
      <c r="I37" s="32">
        <f>+NOVIEMBRE!I37</f>
        <v>0</v>
      </c>
      <c r="J37" s="45">
        <f>+NOVIEMBRE!L37</f>
        <v>0</v>
      </c>
      <c r="K37" s="33"/>
      <c r="L37" s="51">
        <f t="shared" si="0"/>
        <v>0</v>
      </c>
    </row>
    <row r="38" spans="2:12" x14ac:dyDescent="0.3">
      <c r="B38" s="34"/>
      <c r="C38" s="42"/>
      <c r="D38" s="42"/>
      <c r="E38" s="42" t="s">
        <v>13</v>
      </c>
      <c r="F38" s="41"/>
      <c r="G38" s="35"/>
      <c r="I38" s="32">
        <f>+NOVIEMBRE!I38</f>
        <v>0</v>
      </c>
      <c r="J38" s="45">
        <f>+NOVIEMBRE!L38</f>
        <v>0</v>
      </c>
      <c r="K38" s="33"/>
      <c r="L38" s="51">
        <f t="shared" si="0"/>
        <v>0</v>
      </c>
    </row>
    <row r="39" spans="2:12" x14ac:dyDescent="0.3">
      <c r="B39" s="34"/>
      <c r="C39" s="42"/>
      <c r="D39" s="42"/>
      <c r="E39" s="42" t="s">
        <v>12</v>
      </c>
      <c r="F39" s="41"/>
      <c r="G39" s="35"/>
      <c r="I39" s="32">
        <f>+NOVIEMBRE!I39</f>
        <v>0</v>
      </c>
      <c r="J39" s="45">
        <f>+NOVIEMBRE!L39</f>
        <v>0</v>
      </c>
      <c r="K39" s="33"/>
      <c r="L39" s="51">
        <f t="shared" si="0"/>
        <v>0</v>
      </c>
    </row>
    <row r="40" spans="2:12" x14ac:dyDescent="0.3">
      <c r="B40" s="34"/>
      <c r="C40" s="42"/>
      <c r="D40" s="42"/>
      <c r="E40" s="42" t="s">
        <v>1</v>
      </c>
      <c r="F40" s="41"/>
      <c r="G40" s="35"/>
      <c r="I40" s="32">
        <f>+NOVIEMBRE!I40</f>
        <v>0</v>
      </c>
      <c r="J40" s="45">
        <f>+NOVIEMBRE!L40</f>
        <v>0</v>
      </c>
      <c r="K40" s="33"/>
      <c r="L40" s="51">
        <f t="shared" si="0"/>
        <v>0</v>
      </c>
    </row>
    <row r="41" spans="2:12" x14ac:dyDescent="0.3">
      <c r="B41" s="34"/>
      <c r="C41" s="42"/>
      <c r="D41" s="42"/>
      <c r="E41" s="42" t="s">
        <v>2</v>
      </c>
      <c r="F41" s="41"/>
      <c r="G41" s="35"/>
      <c r="I41" s="32">
        <f>+NOVIEMBRE!I41</f>
        <v>0</v>
      </c>
      <c r="J41" s="45">
        <f>+NOVIEMBRE!L41</f>
        <v>0</v>
      </c>
      <c r="K41" s="33"/>
      <c r="L41" s="51">
        <f t="shared" si="0"/>
        <v>0</v>
      </c>
    </row>
    <row r="42" spans="2:12" x14ac:dyDescent="0.3">
      <c r="B42" s="34"/>
      <c r="C42" s="42"/>
      <c r="D42" s="42"/>
      <c r="E42" s="42" t="s">
        <v>1</v>
      </c>
      <c r="F42" s="41"/>
      <c r="G42" s="35"/>
      <c r="I42" s="32">
        <f>+NOVIEMBRE!I42</f>
        <v>0</v>
      </c>
      <c r="J42" s="45">
        <f>+NOVIEMBRE!L42</f>
        <v>0</v>
      </c>
      <c r="K42" s="33"/>
      <c r="L42" s="51">
        <f t="shared" si="0"/>
        <v>0</v>
      </c>
    </row>
    <row r="43" spans="2:12" x14ac:dyDescent="0.3">
      <c r="B43" s="34"/>
      <c r="C43" s="42"/>
      <c r="D43" s="42"/>
      <c r="E43" s="42" t="s">
        <v>11</v>
      </c>
      <c r="F43" s="41"/>
      <c r="G43" s="35"/>
      <c r="I43" s="44" t="s">
        <v>51</v>
      </c>
      <c r="J43" s="45">
        <f>SUM(J35:J42)</f>
        <v>0</v>
      </c>
      <c r="K43" s="35">
        <f>SUM(K35:K42)</f>
        <v>0</v>
      </c>
      <c r="L43" s="51">
        <f>SUM(L35:L42)</f>
        <v>0</v>
      </c>
    </row>
    <row r="44" spans="2:12" ht="14.5" thickBot="1" x14ac:dyDescent="0.35">
      <c r="B44" s="34"/>
      <c r="C44" s="42"/>
      <c r="D44" s="42"/>
      <c r="E44" s="42" t="s">
        <v>13</v>
      </c>
      <c r="F44" s="41"/>
      <c r="G44" s="35"/>
    </row>
    <row r="45" spans="2:12" ht="18.5" thickBot="1" x14ac:dyDescent="0.45">
      <c r="B45" s="34"/>
      <c r="C45" s="42"/>
      <c r="D45" s="42"/>
      <c r="E45" s="42" t="s">
        <v>12</v>
      </c>
      <c r="F45" s="41"/>
      <c r="G45" s="35"/>
      <c r="I45" s="9" t="s">
        <v>77</v>
      </c>
      <c r="J45" s="68">
        <f>+C10-B17</f>
        <v>5000000</v>
      </c>
    </row>
    <row r="46" spans="2:12" x14ac:dyDescent="0.3">
      <c r="B46" s="34"/>
      <c r="C46" s="42"/>
      <c r="D46" s="42"/>
      <c r="E46" s="42" t="s">
        <v>1</v>
      </c>
      <c r="F46" s="41"/>
      <c r="G46" s="35"/>
    </row>
    <row r="47" spans="2:12" ht="14.5" thickBot="1" x14ac:dyDescent="0.35">
      <c r="B47" s="34"/>
      <c r="C47" s="42"/>
      <c r="D47" s="42"/>
      <c r="E47" s="42" t="s">
        <v>2</v>
      </c>
      <c r="F47" s="41"/>
      <c r="G47" s="38"/>
    </row>
    <row r="48" spans="2:12" ht="14.5" thickBot="1" x14ac:dyDescent="0.35">
      <c r="B48" s="78" t="s">
        <v>16</v>
      </c>
      <c r="C48" s="79"/>
      <c r="D48" s="79"/>
      <c r="E48" s="79"/>
      <c r="F48" s="79"/>
      <c r="G48" s="48">
        <f>+SUM(F20:F47)-SUM(G20:G47)</f>
        <v>0</v>
      </c>
    </row>
  </sheetData>
  <mergeCells count="9">
    <mergeCell ref="B48:F48"/>
    <mergeCell ref="I29:I32"/>
    <mergeCell ref="J29:J32"/>
    <mergeCell ref="B9:G9"/>
    <mergeCell ref="D10:G18"/>
    <mergeCell ref="B16:C16"/>
    <mergeCell ref="B17:C18"/>
    <mergeCell ref="I16:I19"/>
    <mergeCell ref="J16:J19"/>
  </mergeCells>
  <conditionalFormatting sqref="E20:E47">
    <cfRule type="cellIs" dxfId="9" priority="6" operator="equal">
      <formula>"Ocio"</formula>
    </cfRule>
    <cfRule type="cellIs" dxfId="8" priority="7" operator="equal">
      <formula>"Inversion"</formula>
    </cfRule>
    <cfRule type="cellIs" dxfId="7" priority="8" operator="equal">
      <formula>"Ahorro"</formula>
    </cfRule>
    <cfRule type="cellIs" dxfId="6" priority="9" operator="equal">
      <formula>"Variables"</formula>
    </cfRule>
    <cfRule type="cellIs" dxfId="5" priority="10" operator="equal">
      <formula>"Fijos"</formula>
    </cfRule>
  </conditionalFormatting>
  <conditionalFormatting sqref="B48">
    <cfRule type="cellIs" dxfId="4" priority="1" operator="equal">
      <formula>"Ocio"</formula>
    </cfRule>
    <cfRule type="cellIs" dxfId="3" priority="2" operator="equal">
      <formula>"Inversion"</formula>
    </cfRule>
    <cfRule type="cellIs" dxfId="2" priority="3" operator="equal">
      <formula>"Ahorro"</formula>
    </cfRule>
    <cfRule type="cellIs" dxfId="1" priority="4" operator="equal">
      <formula>"Variables"</formula>
    </cfRule>
    <cfRule type="cellIs" dxfId="0" priority="5" operator="equal">
      <formula>"Fijos"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85C8D9-7367-4FB4-B1D6-9DA3456FA91A}">
          <x14:formula1>
            <xm:f>Listas!$C$2:$C$6</xm:f>
          </x14:formula1>
          <xm:sqref>E20:E47</xm:sqref>
        </x14:dataValidation>
        <x14:dataValidation type="list" allowBlank="1" showInputMessage="1" showErrorMessage="1" xr:uid="{DB6AD4DB-BA9A-4551-9129-DFFB50725450}">
          <x14:formula1>
            <xm:f>Listas!$A$2:$A$9</xm:f>
          </x14:formula1>
          <xm:sqref>C20:C47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E9C0-7F6D-4E7E-B522-3F30FBC4DF52}">
  <dimension ref="A1:M23"/>
  <sheetViews>
    <sheetView showGridLines="0" topLeftCell="A19" zoomScale="110" zoomScaleNormal="110" workbookViewId="0">
      <selection activeCell="L51" sqref="L51"/>
    </sheetView>
  </sheetViews>
  <sheetFormatPr defaultRowHeight="14" x14ac:dyDescent="0.3"/>
  <cols>
    <col min="1" max="1" width="27" style="6" bestFit="1" customWidth="1"/>
    <col min="2" max="2" width="22.08984375" style="6" customWidth="1"/>
    <col min="3" max="13" width="21.81640625" style="6" customWidth="1"/>
    <col min="14" max="16384" width="8.7265625" style="6"/>
  </cols>
  <sheetData>
    <row r="1" spans="1:13" x14ac:dyDescent="0.3">
      <c r="A1" s="10"/>
      <c r="B1" s="11"/>
      <c r="C1" s="12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3" x14ac:dyDescent="0.3">
      <c r="A2" s="15"/>
      <c r="B2" s="16"/>
      <c r="C2" s="17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1:13" x14ac:dyDescent="0.3">
      <c r="A3" s="15"/>
      <c r="B3" s="16"/>
      <c r="C3" s="17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x14ac:dyDescent="0.3">
      <c r="A4" s="15"/>
      <c r="B4" s="16"/>
      <c r="C4" s="17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x14ac:dyDescent="0.3">
      <c r="A5" s="15"/>
      <c r="B5" s="16"/>
      <c r="C5" s="17"/>
      <c r="D5" s="18"/>
      <c r="E5" s="18"/>
      <c r="F5" s="18"/>
      <c r="G5" s="18"/>
      <c r="H5" s="18"/>
      <c r="I5" s="18"/>
      <c r="J5" s="18"/>
      <c r="K5" s="18"/>
      <c r="L5" s="18"/>
      <c r="M5" s="19"/>
    </row>
    <row r="6" spans="1:13" x14ac:dyDescent="0.3">
      <c r="A6" s="15"/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 ht="14.5" thickBot="1" x14ac:dyDescent="0.35">
      <c r="A7" s="20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4"/>
    </row>
    <row r="8" spans="1:13" s="28" customFormat="1" x14ac:dyDescent="0.3">
      <c r="A8" s="25"/>
      <c r="B8" s="26"/>
      <c r="C8" s="27"/>
      <c r="D8" s="25"/>
      <c r="E8" s="25"/>
      <c r="F8" s="25"/>
      <c r="G8" s="25"/>
      <c r="H8" s="25"/>
      <c r="I8" s="25"/>
      <c r="J8" s="25"/>
      <c r="K8" s="25"/>
      <c r="L8" s="25"/>
    </row>
    <row r="9" spans="1:13" ht="17" thickBot="1" x14ac:dyDescent="0.35">
      <c r="B9" s="8" t="s">
        <v>32</v>
      </c>
      <c r="C9" s="8" t="s">
        <v>33</v>
      </c>
      <c r="D9" s="8" t="s">
        <v>34</v>
      </c>
      <c r="E9" s="8" t="s">
        <v>35</v>
      </c>
      <c r="F9" s="8" t="s">
        <v>36</v>
      </c>
      <c r="G9" s="8" t="s">
        <v>37</v>
      </c>
      <c r="H9" s="8" t="s">
        <v>38</v>
      </c>
      <c r="I9" s="8" t="s">
        <v>39</v>
      </c>
      <c r="J9" s="8" t="s">
        <v>40</v>
      </c>
      <c r="K9" s="8" t="s">
        <v>41</v>
      </c>
      <c r="L9" s="8" t="s">
        <v>42</v>
      </c>
      <c r="M9" s="8" t="s">
        <v>43</v>
      </c>
    </row>
    <row r="10" spans="1:13" ht="17" thickBot="1" x14ac:dyDescent="0.35">
      <c r="A10" s="8" t="s">
        <v>0</v>
      </c>
      <c r="B10" s="29">
        <f>+ENERO!C10</f>
        <v>5000000</v>
      </c>
      <c r="C10" s="29">
        <f>+FEBRERO!C10</f>
        <v>5000000</v>
      </c>
      <c r="D10" s="29">
        <f>+MARZO!C10</f>
        <v>5000000</v>
      </c>
      <c r="E10" s="29">
        <f>+ABRIL!C10</f>
        <v>5000000</v>
      </c>
      <c r="F10" s="29">
        <f>+MAYO!C10</f>
        <v>5000000</v>
      </c>
      <c r="G10" s="29">
        <f>+JUNIO!C10</f>
        <v>5000000</v>
      </c>
      <c r="H10" s="29">
        <f>+JULIO!C10</f>
        <v>5000000</v>
      </c>
      <c r="I10" s="29">
        <f>+AGOSTO!C10</f>
        <v>5000000</v>
      </c>
      <c r="J10" s="29">
        <f>+SEPTIEMBRE!C10</f>
        <v>5000000</v>
      </c>
      <c r="K10" s="29">
        <f>+OCTUBRE!C10</f>
        <v>5000000</v>
      </c>
      <c r="L10" s="29">
        <f>+NOVIEMBRE!C10</f>
        <v>5000000</v>
      </c>
      <c r="M10" s="29">
        <f>+DICIEMBRE!C10</f>
        <v>5000000</v>
      </c>
    </row>
    <row r="11" spans="1:13" ht="17" thickBot="1" x14ac:dyDescent="0.35">
      <c r="A11" s="8" t="s">
        <v>44</v>
      </c>
      <c r="B11" s="29">
        <f>+SUM(ENERO!C11:C13)</f>
        <v>0</v>
      </c>
      <c r="C11" s="29">
        <f>+SUM(FEBRERO!C11:C13)</f>
        <v>0</v>
      </c>
      <c r="D11" s="29">
        <f>+SUM(MARZO!C11:C13)</f>
        <v>0</v>
      </c>
      <c r="E11" s="29">
        <f>+SUM(ABRIL!C11:C13)</f>
        <v>0</v>
      </c>
      <c r="F11" s="29">
        <f>+SUM(MAYO!C11:C13)</f>
        <v>0</v>
      </c>
      <c r="G11" s="29">
        <f>+SUM(JUNIO!C11:C13)</f>
        <v>0</v>
      </c>
      <c r="H11" s="29">
        <f>+SUM(JULIO!C11:C13)</f>
        <v>0</v>
      </c>
      <c r="I11" s="29">
        <f>+SUM(AGOSTO!C11:C13)</f>
        <v>0</v>
      </c>
      <c r="J11" s="29">
        <f>+SUM(SEPTIEMBRE!C11:C13)</f>
        <v>0</v>
      </c>
      <c r="K11" s="29">
        <f>+SUM(OCTUBRE!C11:C13)</f>
        <v>0</v>
      </c>
      <c r="L11" s="29">
        <f>+SUM(NOVIEMBRE!C11:C13)</f>
        <v>0</v>
      </c>
      <c r="M11" s="29">
        <f>+SUM(DICIEMBRE!C11:C13)</f>
        <v>0</v>
      </c>
    </row>
    <row r="12" spans="1:13" ht="17" thickBot="1" x14ac:dyDescent="0.35">
      <c r="A12" s="8" t="s">
        <v>45</v>
      </c>
      <c r="B12" s="29">
        <f>B10-B11</f>
        <v>5000000</v>
      </c>
      <c r="C12" s="29">
        <f>C10-C11</f>
        <v>5000000</v>
      </c>
      <c r="D12" s="29">
        <f t="shared" ref="D12:M12" si="0">D10-D11</f>
        <v>5000000</v>
      </c>
      <c r="E12" s="29">
        <f t="shared" si="0"/>
        <v>5000000</v>
      </c>
      <c r="F12" s="29">
        <f t="shared" si="0"/>
        <v>5000000</v>
      </c>
      <c r="G12" s="29">
        <f t="shared" si="0"/>
        <v>5000000</v>
      </c>
      <c r="H12" s="29">
        <f t="shared" si="0"/>
        <v>5000000</v>
      </c>
      <c r="I12" s="29">
        <f t="shared" si="0"/>
        <v>5000000</v>
      </c>
      <c r="J12" s="29">
        <f t="shared" si="0"/>
        <v>5000000</v>
      </c>
      <c r="K12" s="29">
        <f t="shared" si="0"/>
        <v>5000000</v>
      </c>
      <c r="L12" s="29">
        <f t="shared" si="0"/>
        <v>5000000</v>
      </c>
      <c r="M12" s="29">
        <f t="shared" si="0"/>
        <v>5000000</v>
      </c>
    </row>
    <row r="14" spans="1:13" ht="17" thickBot="1" x14ac:dyDescent="0.35">
      <c r="B14" s="8" t="s">
        <v>32</v>
      </c>
      <c r="C14" s="8" t="s">
        <v>33</v>
      </c>
      <c r="D14" s="8" t="s">
        <v>34</v>
      </c>
      <c r="E14" s="8" t="s">
        <v>35</v>
      </c>
      <c r="F14" s="8" t="s">
        <v>36</v>
      </c>
      <c r="G14" s="8" t="s">
        <v>37</v>
      </c>
      <c r="H14" s="8" t="s">
        <v>38</v>
      </c>
      <c r="I14" s="8" t="s">
        <v>39</v>
      </c>
      <c r="J14" s="8" t="s">
        <v>40</v>
      </c>
      <c r="K14" s="8" t="s">
        <v>41</v>
      </c>
      <c r="L14" s="8" t="s">
        <v>42</v>
      </c>
      <c r="M14" s="8" t="s">
        <v>43</v>
      </c>
    </row>
    <row r="15" spans="1:13" ht="17" thickBot="1" x14ac:dyDescent="0.35">
      <c r="A15" s="8" t="s">
        <v>46</v>
      </c>
      <c r="B15" s="29">
        <f>+SUM(ENERO!C14:C15)</f>
        <v>0</v>
      </c>
      <c r="C15" s="29">
        <f>+B17+SUM(FEBRERO!C14:C15)</f>
        <v>0</v>
      </c>
      <c r="D15" s="29">
        <f>C17+SUM(MARZO!C14:C15)</f>
        <v>0</v>
      </c>
      <c r="E15" s="29">
        <f>D17+SUM(ABRIL!C14:C15)</f>
        <v>0</v>
      </c>
      <c r="F15" s="29">
        <f>E17+SUM(MAYO!C14:C15)</f>
        <v>0</v>
      </c>
      <c r="G15" s="29">
        <f>F17+SUM(JUNIO!C14:C15)</f>
        <v>0</v>
      </c>
      <c r="H15" s="29">
        <f>G17+SUM(JULIO!C14:C15)</f>
        <v>0</v>
      </c>
      <c r="I15" s="29">
        <f>H17+SUM(AGOSTO!C14:C15)</f>
        <v>0</v>
      </c>
      <c r="J15" s="29">
        <f>I17+SUM(SEPTIEMBRE!C14:C15)</f>
        <v>0</v>
      </c>
      <c r="K15" s="29">
        <f>J17+SUM(OCTUBRE!C14:C15)</f>
        <v>0</v>
      </c>
      <c r="L15" s="29">
        <f>K17+SUM(NOVIEMBRE!C14:C15)</f>
        <v>0</v>
      </c>
      <c r="M15" s="29">
        <f>L17+SUM(DICIEMBRE!C14:C15)</f>
        <v>0</v>
      </c>
    </row>
    <row r="16" spans="1:13" ht="17" thickBot="1" x14ac:dyDescent="0.35">
      <c r="A16" s="8" t="s">
        <v>48</v>
      </c>
      <c r="B16" s="29">
        <f>+ENERO!J29</f>
        <v>0</v>
      </c>
      <c r="C16" s="29">
        <f>+FEBRERO!J29</f>
        <v>0</v>
      </c>
      <c r="D16" s="29">
        <f>+MARZO!J29</f>
        <v>0</v>
      </c>
      <c r="E16" s="29">
        <f>+ABRIL!J29</f>
        <v>0</v>
      </c>
      <c r="F16" s="29">
        <f>+MAYO!J29</f>
        <v>0</v>
      </c>
      <c r="G16" s="29">
        <f>+JUNIO!J29</f>
        <v>0</v>
      </c>
      <c r="H16" s="29">
        <f>+JULIO!J29</f>
        <v>0</v>
      </c>
      <c r="I16" s="29">
        <f>+AGOSTO!J29</f>
        <v>0</v>
      </c>
      <c r="J16" s="29">
        <f>+SEPTIEMBRE!J29</f>
        <v>0</v>
      </c>
      <c r="K16" s="29">
        <f>+OCTUBRE!J29</f>
        <v>0</v>
      </c>
      <c r="L16" s="29">
        <f>+NOVIEMBRE!J29</f>
        <v>0</v>
      </c>
      <c r="M16" s="29">
        <f>+DICIEMBRE!J29</f>
        <v>0</v>
      </c>
    </row>
    <row r="17" spans="1:13" ht="17" thickBot="1" x14ac:dyDescent="0.35">
      <c r="A17" s="8" t="s">
        <v>47</v>
      </c>
      <c r="B17" s="29">
        <f>B15+B16</f>
        <v>0</v>
      </c>
      <c r="C17" s="29">
        <f t="shared" ref="C17:M17" si="1">C15+C16</f>
        <v>0</v>
      </c>
      <c r="D17" s="29">
        <f t="shared" si="1"/>
        <v>0</v>
      </c>
      <c r="E17" s="29">
        <f t="shared" si="1"/>
        <v>0</v>
      </c>
      <c r="F17" s="29">
        <f t="shared" si="1"/>
        <v>0</v>
      </c>
      <c r="G17" s="29">
        <f t="shared" si="1"/>
        <v>0</v>
      </c>
      <c r="H17" s="29">
        <f t="shared" si="1"/>
        <v>0</v>
      </c>
      <c r="I17" s="29">
        <f t="shared" si="1"/>
        <v>0</v>
      </c>
      <c r="J17" s="29">
        <f t="shared" si="1"/>
        <v>0</v>
      </c>
      <c r="K17" s="29">
        <f t="shared" si="1"/>
        <v>0</v>
      </c>
      <c r="L17" s="29">
        <f t="shared" si="1"/>
        <v>0</v>
      </c>
      <c r="M17" s="29">
        <f t="shared" si="1"/>
        <v>0</v>
      </c>
    </row>
    <row r="19" spans="1:13" ht="17" thickBot="1" x14ac:dyDescent="0.35">
      <c r="B19" s="8" t="s">
        <v>32</v>
      </c>
      <c r="C19" s="8" t="s">
        <v>33</v>
      </c>
      <c r="D19" s="8" t="s">
        <v>34</v>
      </c>
      <c r="E19" s="8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  <c r="L19" s="8" t="s">
        <v>42</v>
      </c>
      <c r="M19" s="8" t="s">
        <v>43</v>
      </c>
    </row>
    <row r="20" spans="1:13" ht="17" thickBot="1" x14ac:dyDescent="0.35">
      <c r="A20" s="8" t="s">
        <v>57</v>
      </c>
      <c r="B20" s="29">
        <f>+ENERO!J44</f>
        <v>0</v>
      </c>
      <c r="C20" s="29">
        <f>+FEBRERO!J43</f>
        <v>0</v>
      </c>
      <c r="D20" s="29">
        <f>+MARZO!J43</f>
        <v>0</v>
      </c>
      <c r="E20" s="29">
        <f>+ABRIL!J43</f>
        <v>0</v>
      </c>
      <c r="F20" s="29">
        <f>+MAYO!J43</f>
        <v>0</v>
      </c>
      <c r="G20" s="29">
        <f>+JUNIO!J43</f>
        <v>0</v>
      </c>
      <c r="H20" s="29">
        <f>+JULIO!J43</f>
        <v>0</v>
      </c>
      <c r="I20" s="29">
        <f>+AGOSTO!J43</f>
        <v>0</v>
      </c>
      <c r="J20" s="29">
        <f>+SEPTIEMBRE!J43</f>
        <v>0</v>
      </c>
      <c r="K20" s="29">
        <f>+OCTUBRE!J43</f>
        <v>0</v>
      </c>
      <c r="L20" s="29">
        <f>+NOVIEMBRE!J43</f>
        <v>0</v>
      </c>
      <c r="M20" s="29">
        <f>+DICIEMBRE!J43</f>
        <v>0</v>
      </c>
    </row>
    <row r="21" spans="1:13" ht="17" thickBot="1" x14ac:dyDescent="0.35">
      <c r="A21" s="8" t="s">
        <v>58</v>
      </c>
      <c r="B21" s="29">
        <f>+ENERO!K44</f>
        <v>0</v>
      </c>
      <c r="C21" s="29">
        <f>+FEBRERO!K43</f>
        <v>0</v>
      </c>
      <c r="D21" s="29">
        <f>+MARZO!K43</f>
        <v>0</v>
      </c>
      <c r="E21" s="29">
        <f>+ABRIL!K43</f>
        <v>0</v>
      </c>
      <c r="F21" s="29">
        <f>+MAYO!K43</f>
        <v>0</v>
      </c>
      <c r="G21" s="29">
        <f>+JUNIO!K43</f>
        <v>0</v>
      </c>
      <c r="H21" s="29">
        <f>+JULIO!K43</f>
        <v>0</v>
      </c>
      <c r="I21" s="29">
        <f>+AGOSTO!K43</f>
        <v>0</v>
      </c>
      <c r="J21" s="29">
        <f>+SEPTIEMBRE!K43</f>
        <v>0</v>
      </c>
      <c r="K21" s="29">
        <f>+OCTUBRE!K43</f>
        <v>0</v>
      </c>
      <c r="L21" s="29">
        <f>+NOVIEMBRE!K43</f>
        <v>0</v>
      </c>
      <c r="M21" s="29">
        <f>+DICIEMBRE!K43</f>
        <v>0</v>
      </c>
    </row>
    <row r="22" spans="1:13" ht="17" thickBot="1" x14ac:dyDescent="0.35">
      <c r="A22" s="8" t="s">
        <v>59</v>
      </c>
      <c r="B22" s="29">
        <f>+B20+B21</f>
        <v>0</v>
      </c>
      <c r="C22" s="29">
        <f t="shared" ref="C22:M22" si="2">+C20+C21</f>
        <v>0</v>
      </c>
      <c r="D22" s="29">
        <f t="shared" si="2"/>
        <v>0</v>
      </c>
      <c r="E22" s="29">
        <f t="shared" si="2"/>
        <v>0</v>
      </c>
      <c r="F22" s="29">
        <f t="shared" si="2"/>
        <v>0</v>
      </c>
      <c r="G22" s="29">
        <f t="shared" si="2"/>
        <v>0</v>
      </c>
      <c r="H22" s="29">
        <f t="shared" si="2"/>
        <v>0</v>
      </c>
      <c r="I22" s="29">
        <f t="shared" si="2"/>
        <v>0</v>
      </c>
      <c r="J22" s="29">
        <f t="shared" si="2"/>
        <v>0</v>
      </c>
      <c r="K22" s="29">
        <f t="shared" si="2"/>
        <v>0</v>
      </c>
      <c r="L22" s="29">
        <f t="shared" si="2"/>
        <v>0</v>
      </c>
      <c r="M22" s="29">
        <f t="shared" si="2"/>
        <v>0</v>
      </c>
    </row>
    <row r="23" spans="1:13" ht="17" thickBot="1" x14ac:dyDescent="0.35">
      <c r="A23" s="8" t="s">
        <v>60</v>
      </c>
      <c r="B23" s="29">
        <f>+B22</f>
        <v>0</v>
      </c>
      <c r="C23" s="29">
        <f>-B22+C20+C22</f>
        <v>0</v>
      </c>
      <c r="D23" s="29">
        <f>-C22+D20+D22</f>
        <v>0</v>
      </c>
      <c r="E23" s="29">
        <f t="shared" ref="E23:M23" si="3">-D22+E20+E22</f>
        <v>0</v>
      </c>
      <c r="F23" s="29">
        <f t="shared" si="3"/>
        <v>0</v>
      </c>
      <c r="G23" s="29">
        <f t="shared" si="3"/>
        <v>0</v>
      </c>
      <c r="H23" s="29">
        <f t="shared" si="3"/>
        <v>0</v>
      </c>
      <c r="I23" s="29">
        <f t="shared" si="3"/>
        <v>0</v>
      </c>
      <c r="J23" s="29">
        <f t="shared" si="3"/>
        <v>0</v>
      </c>
      <c r="K23" s="29">
        <f t="shared" si="3"/>
        <v>0</v>
      </c>
      <c r="L23" s="29">
        <f t="shared" si="3"/>
        <v>0</v>
      </c>
      <c r="M23" s="29">
        <f t="shared" si="3"/>
        <v>0</v>
      </c>
    </row>
  </sheetData>
  <sheetProtection algorithmName="SHA-512" hashValue="ooOvQHRRMpctFIKgfp9gBLF+RI3JSLT1QKXkOkqI8aKh33apBZwQgYxrlWKdtBQ784V47BlZTpWtAh3Xjlv0UQ==" saltValue="+3RUBLiE1BEi1yegmm+qjA==" spinCount="100000" sheet="1" objects="1" scenarios="1"/>
  <pageMargins left="0.7" right="0.7" top="0.75" bottom="0.75" header="0.3" footer="0.3"/>
  <ignoredErrors>
    <ignoredError sqref="C16 D21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7DBB158A-6767-42B3-AC7D-4583B126955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B12</xm:sqref>
        </x14:conditionalFormatting>
        <x14:conditionalFormatting xmlns:xm="http://schemas.microsoft.com/office/excel/2006/main">
          <x14:cfRule type="iconSet" priority="20" id="{1712E41C-1814-4DAC-9EF8-504E4AC7FA9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C12</xm:sqref>
        </x14:conditionalFormatting>
        <x14:conditionalFormatting xmlns:xm="http://schemas.microsoft.com/office/excel/2006/main">
          <x14:cfRule type="iconSet" priority="19" id="{C7051A30-99ED-4C34-9B39-05806DD20B0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D12:M12</xm:sqref>
        </x14:conditionalFormatting>
        <x14:conditionalFormatting xmlns:xm="http://schemas.microsoft.com/office/excel/2006/main">
          <x14:cfRule type="iconSet" priority="18" id="{A4C6D427-8567-4F2D-BF2C-C14CD1503A6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B17</xm:sqref>
        </x14:conditionalFormatting>
        <x14:conditionalFormatting xmlns:xm="http://schemas.microsoft.com/office/excel/2006/main">
          <x14:cfRule type="iconSet" priority="15" id="{4102E104-207F-473C-BD82-3A956FF986F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C17:M17</xm:sqref>
        </x14:conditionalFormatting>
        <x14:conditionalFormatting xmlns:xm="http://schemas.microsoft.com/office/excel/2006/main">
          <x14:cfRule type="iconSet" priority="14" id="{8861418E-69C6-43B8-A16B-FFF4DE6EB43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B22</xm:sqref>
        </x14:conditionalFormatting>
        <x14:conditionalFormatting xmlns:xm="http://schemas.microsoft.com/office/excel/2006/main">
          <x14:cfRule type="iconSet" priority="7" id="{8FADDAA0-340E-430A-9FDA-E93B40E419B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C22:M22</xm:sqref>
        </x14:conditionalFormatting>
        <x14:conditionalFormatting xmlns:xm="http://schemas.microsoft.com/office/excel/2006/main">
          <x14:cfRule type="iconSet" priority="6" id="{D26EC9F6-867C-42D6-8C1B-319D9D1B775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C23</xm:sqref>
        </x14:conditionalFormatting>
        <x14:conditionalFormatting xmlns:xm="http://schemas.microsoft.com/office/excel/2006/main">
          <x14:cfRule type="iconSet" priority="4" id="{63082C70-22FA-4DAC-B0D7-80E977B6967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B23</xm:sqref>
        </x14:conditionalFormatting>
        <x14:conditionalFormatting xmlns:xm="http://schemas.microsoft.com/office/excel/2006/main">
          <x14:cfRule type="iconSet" priority="2" id="{AE22F0C9-2D6F-4B0A-9B1E-E8A6D4B2CC9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D23</xm:sqref>
        </x14:conditionalFormatting>
        <x14:conditionalFormatting xmlns:xm="http://schemas.microsoft.com/office/excel/2006/main">
          <x14:cfRule type="iconSet" priority="1" id="{1993CDFA-83E1-4A91-BD3A-74C32C442D8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E23:M23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4A72-6A4D-49A2-A44C-D0AAE8F4593A}">
  <dimension ref="A1:C7"/>
  <sheetViews>
    <sheetView workbookViewId="0">
      <selection activeCell="A12" sqref="A12"/>
    </sheetView>
  </sheetViews>
  <sheetFormatPr defaultRowHeight="14.5" x14ac:dyDescent="0.35"/>
  <cols>
    <col min="1" max="1" width="19.54296875" customWidth="1"/>
  </cols>
  <sheetData>
    <row r="1" spans="1:3" x14ac:dyDescent="0.35">
      <c r="A1" t="s">
        <v>9</v>
      </c>
      <c r="C1" t="s">
        <v>10</v>
      </c>
    </row>
    <row r="2" spans="1:3" x14ac:dyDescent="0.35">
      <c r="A2" t="s">
        <v>63</v>
      </c>
      <c r="C2" s="1" t="s">
        <v>11</v>
      </c>
    </row>
    <row r="3" spans="1:3" x14ac:dyDescent="0.35">
      <c r="A3" t="s">
        <v>64</v>
      </c>
      <c r="C3" s="2" t="s">
        <v>12</v>
      </c>
    </row>
    <row r="4" spans="1:3" x14ac:dyDescent="0.35">
      <c r="A4" t="s">
        <v>17</v>
      </c>
      <c r="C4" s="3" t="s">
        <v>2</v>
      </c>
    </row>
    <row r="5" spans="1:3" x14ac:dyDescent="0.35">
      <c r="A5" t="s">
        <v>18</v>
      </c>
      <c r="C5" s="4" t="s">
        <v>13</v>
      </c>
    </row>
    <row r="6" spans="1:3" x14ac:dyDescent="0.35">
      <c r="A6" t="s">
        <v>19</v>
      </c>
      <c r="C6" s="5" t="s">
        <v>1</v>
      </c>
    </row>
    <row r="7" spans="1:3" x14ac:dyDescent="0.35">
      <c r="A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RESUMEN ANUAL</vt:lpstr>
      <vt:lpstr>Listas</vt:lpstr>
    </vt:vector>
  </TitlesOfParts>
  <Company>Holcim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Briyeth Yajaira Caceres Bravo</dc:creator>
  <cp:lastModifiedBy>Briyeth Yajaira Caceres Bravo</cp:lastModifiedBy>
  <dcterms:created xsi:type="dcterms:W3CDTF">2025-07-09T00:20:37Z</dcterms:created>
  <dcterms:modified xsi:type="dcterms:W3CDTF">2025-08-01T18:17:07Z</dcterms:modified>
</cp:coreProperties>
</file>